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500"/>
  </bookViews>
  <sheets>
    <sheet name="pivot table " sheetId="7" r:id="rId1"/>
    <sheet name="SalesData" sheetId="3" r:id="rId2"/>
    <sheet name="DASH BOARD" sheetId="8" r:id="rId3"/>
  </sheets>
  <definedNames>
    <definedName name="Slicer_Product">#N/A</definedName>
    <definedName name="Slicer_Region">#N/A</definedName>
    <definedName name="Slicer_Sales_Pers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<sst xmlns="http://schemas.openxmlformats.org/spreadsheetml/2006/main" count="203" uniqueCount="37">
  <si>
    <t>Region</t>
  </si>
  <si>
    <t>Sum of Total Sales</t>
  </si>
  <si>
    <t>Product</t>
  </si>
  <si>
    <t>Sum of Units Sold</t>
  </si>
  <si>
    <t>Sales Person</t>
  </si>
  <si>
    <t>East</t>
  </si>
  <si>
    <t>Tent</t>
  </si>
  <si>
    <t>Andrew</t>
  </si>
  <si>
    <t>North</t>
  </si>
  <si>
    <t>Blender</t>
  </si>
  <si>
    <t>Grace</t>
  </si>
  <si>
    <t>South</t>
  </si>
  <si>
    <t>Action Figure</t>
  </si>
  <si>
    <t>Ella</t>
  </si>
  <si>
    <t>West</t>
  </si>
  <si>
    <t>Novel</t>
  </si>
  <si>
    <t>Cameron</t>
  </si>
  <si>
    <t>Grand Total</t>
  </si>
  <si>
    <t>Sneakers</t>
  </si>
  <si>
    <t>Megan</t>
  </si>
  <si>
    <t>Moisturizer</t>
  </si>
  <si>
    <t>Carolyn</t>
  </si>
  <si>
    <t>Smartphone</t>
  </si>
  <si>
    <t>Virginia</t>
  </si>
  <si>
    <t>Connor</t>
  </si>
  <si>
    <t>Anna</t>
  </si>
  <si>
    <t>Nicholas</t>
  </si>
  <si>
    <t>Date</t>
  </si>
  <si>
    <t>Units Sold</t>
  </si>
  <si>
    <t>Unit Price</t>
  </si>
  <si>
    <t>Cost of Goods</t>
  </si>
  <si>
    <t>Total Sales</t>
  </si>
  <si>
    <t>PROFIT</t>
  </si>
  <si>
    <t>GRAND TOTAL</t>
  </si>
  <si>
    <t>UNIT SOLD</t>
  </si>
  <si>
    <t>TOTAL PROFIT</t>
  </si>
  <si>
    <t>AVRAFE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</si>
</sst>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Rs.&quot;\ * #,##0_ ;_ &quot;Rs.&quot;\ * \-#,##0_ ;_ &quot;Rs.&quot;\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4" tint="-0.249977111117893"/>
      <name val="Aptos Narrow"/>
      <charset val="134"/>
      <scheme val="minor"/>
    </font>
    <font>
      <sz val="11"/>
      <color theme="4" tint="-0.499984740745262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58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178" fontId="2" fillId="2" borderId="2" xfId="5" applyFont="1" applyFill="1" applyBorder="1"/>
    <xf numFmtId="58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178" fontId="2" fillId="0" borderId="0" xfId="5" applyFont="1" applyFill="1" applyBorder="1"/>
    <xf numFmtId="58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178" fontId="2" fillId="2" borderId="0" xfId="5" applyFont="1" applyFill="1" applyBorder="1"/>
    <xf numFmtId="0" fontId="2" fillId="2" borderId="3" xfId="0" applyFont="1" applyFill="1" applyBorder="1"/>
    <xf numFmtId="58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Fill="1" applyBorder="1" applyAlignment="1">
      <alignment horizontal="left"/>
    </xf>
    <xf numFmtId="178" fontId="2" fillId="0" borderId="3" xfId="5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73DC60EE-EED9-48F7-9CC9-D1C7894055D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[SALES_DASHBORD_PROJECT.xlsx]pivot table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SELES PERSON TOATL  SALES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577015934331"/>
          <c:y val="0.21463311482343"/>
          <c:w val="0.702969579913085"/>
          <c:h val="0.50188200465214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'!$J$4:$J$14</c:f>
              <c:strCache>
                <c:ptCount val="10"/>
                <c:pt idx="0">
                  <c:v>Andrew</c:v>
                </c:pt>
                <c:pt idx="1">
                  <c:v>Grace</c:v>
                </c:pt>
                <c:pt idx="2">
                  <c:v>Ella</c:v>
                </c:pt>
                <c:pt idx="3">
                  <c:v>Cameron</c:v>
                </c:pt>
                <c:pt idx="4">
                  <c:v>Megan</c:v>
                </c:pt>
                <c:pt idx="5">
                  <c:v>Carolyn</c:v>
                </c:pt>
                <c:pt idx="6">
                  <c:v>Virginia</c:v>
                </c:pt>
                <c:pt idx="7">
                  <c:v>Connor</c:v>
                </c:pt>
                <c:pt idx="8">
                  <c:v>Anna</c:v>
                </c:pt>
                <c:pt idx="9">
                  <c:v>Nicholas</c:v>
                </c:pt>
              </c:strCache>
            </c:strRef>
          </c:cat>
          <c:val>
            <c:numRef>
              <c:f>'pivot table '!$K$4:$K$14</c:f>
              <c:numCache>
                <c:formatCode>General</c:formatCode>
                <c:ptCount val="10"/>
                <c:pt idx="0">
                  <c:v>1591600</c:v>
                </c:pt>
                <c:pt idx="1">
                  <c:v>1777400</c:v>
                </c:pt>
                <c:pt idx="2">
                  <c:v>1110000</c:v>
                </c:pt>
                <c:pt idx="3">
                  <c:v>1957000</c:v>
                </c:pt>
                <c:pt idx="4">
                  <c:v>1065400</c:v>
                </c:pt>
                <c:pt idx="5">
                  <c:v>1661400</c:v>
                </c:pt>
                <c:pt idx="6">
                  <c:v>578500</c:v>
                </c:pt>
                <c:pt idx="7">
                  <c:v>1741200</c:v>
                </c:pt>
                <c:pt idx="8">
                  <c:v>677600</c:v>
                </c:pt>
                <c:pt idx="9">
                  <c:v>784400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4929403"/>
        <c:axId val="103933045"/>
      </c:lineChart>
      <c:catAx>
        <c:axId val="9149294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33045"/>
        <c:crosses val="autoZero"/>
        <c:auto val="1"/>
        <c:lblAlgn val="ctr"/>
        <c:lblOffset val="100"/>
        <c:noMultiLvlLbl val="0"/>
      </c:catAx>
      <c:valAx>
        <c:axId val="10393304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9294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6bfe6c-13e8-43c0-a1a0-25a5a2c28b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[SALES_DASHBORD_PROJECT.xlsx]pivot table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UNIT SOLD</a:t>
            </a:r>
          </a:p>
        </c:rich>
      </c:tx>
      <c:layout>
        <c:manualLayout>
          <c:xMode val="edge"/>
          <c:yMode val="edge"/>
          <c:x val="0.377557904205082"/>
          <c:y val="0.0904555303500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'!$G$4:$G$11</c:f>
              <c:strCache>
                <c:ptCount val="7"/>
                <c:pt idx="0">
                  <c:v>Tent</c:v>
                </c:pt>
                <c:pt idx="1">
                  <c:v>Blender</c:v>
                </c:pt>
                <c:pt idx="2">
                  <c:v>Action Figure</c:v>
                </c:pt>
                <c:pt idx="3">
                  <c:v>Novel</c:v>
                </c:pt>
                <c:pt idx="4">
                  <c:v>Sneakers</c:v>
                </c:pt>
                <c:pt idx="5">
                  <c:v>Moisturizer</c:v>
                </c:pt>
                <c:pt idx="6">
                  <c:v>Smartphone</c:v>
                </c:pt>
              </c:strCache>
            </c:strRef>
          </c:cat>
          <c:val>
            <c:numRef>
              <c:f>'pivot table '!$H$4:$H$11</c:f>
              <c:numCache>
                <c:formatCode>General</c:formatCode>
                <c:ptCount val="7"/>
                <c:pt idx="0">
                  <c:v>504</c:v>
                </c:pt>
                <c:pt idx="1">
                  <c:v>635</c:v>
                </c:pt>
                <c:pt idx="2">
                  <c:v>456</c:v>
                </c:pt>
                <c:pt idx="3">
                  <c:v>898</c:v>
                </c:pt>
                <c:pt idx="4">
                  <c:v>799</c:v>
                </c:pt>
                <c:pt idx="5">
                  <c:v>1178</c:v>
                </c:pt>
                <c:pt idx="6">
                  <c:v>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16932867"/>
        <c:axId val="583482825"/>
      </c:barChart>
      <c:catAx>
        <c:axId val="816932867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482825"/>
        <c:crosses val="autoZero"/>
        <c:auto val="1"/>
        <c:lblAlgn val="ctr"/>
        <c:lblOffset val="100"/>
        <c:noMultiLvlLbl val="0"/>
      </c:catAx>
      <c:valAx>
        <c:axId val="583482825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32867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cd2bef-a7d9-4cc1-af4e-2aa79e8cd9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[SALES_DASHBORD_PROJECT.xlsx]pivot table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REGION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6531477419805"/>
          <c:y val="0.263552572763326"/>
          <c:w val="0.402763157894737"/>
          <c:h val="0.708564814814815"/>
        </c:manualLayout>
      </c:layout>
      <c:doughnut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39154763657782"/>
                  <c:y val="-0.1302681992337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9275511706671"/>
                  <c:y val="0.061302681992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50198792519511"/>
                  <c:y val="0.05747126436781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9275511706671"/>
                  <c:y val="-0.06896551724137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3534400</c:v>
                </c:pt>
                <c:pt idx="1">
                  <c:v>2661400</c:v>
                </c:pt>
                <c:pt idx="2">
                  <c:v>2870600</c:v>
                </c:pt>
                <c:pt idx="3">
                  <c:v>3878100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f29677-4a0e-4a86-8d2d-9620149608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[SALES_DASHBORD_PROJECT.xlsx]pivot table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TOTAL SALESt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301161459185"/>
                      <c:h val="0.0790803436078828"/>
                    </c:manualLayout>
                  </c15:layout>
                </c:ext>
              </c:extLst>
            </c:dLbl>
            <c:numFmt formatCode="0.0,\ ,&quot;L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'!$D$4:$D$11</c:f>
              <c:strCache>
                <c:ptCount val="7"/>
                <c:pt idx="0">
                  <c:v>Tent</c:v>
                </c:pt>
                <c:pt idx="1">
                  <c:v>Blender</c:v>
                </c:pt>
                <c:pt idx="2">
                  <c:v>Action Figure</c:v>
                </c:pt>
                <c:pt idx="3">
                  <c:v>Novel</c:v>
                </c:pt>
                <c:pt idx="4">
                  <c:v>Sneakers</c:v>
                </c:pt>
                <c:pt idx="5">
                  <c:v>Moisturizer</c:v>
                </c:pt>
                <c:pt idx="6">
                  <c:v>Smartphone</c:v>
                </c:pt>
              </c:strCache>
            </c:strRef>
          </c:cat>
          <c:val>
            <c:numRef>
              <c:f>'pivot table '!$E$4:$E$11</c:f>
              <c:numCache>
                <c:formatCode>General</c:formatCode>
                <c:ptCount val="7"/>
                <c:pt idx="0">
                  <c:v>3024000</c:v>
                </c:pt>
                <c:pt idx="1">
                  <c:v>2222500</c:v>
                </c:pt>
                <c:pt idx="2">
                  <c:v>547200</c:v>
                </c:pt>
                <c:pt idx="3">
                  <c:v>898000</c:v>
                </c:pt>
                <c:pt idx="4">
                  <c:v>3196000</c:v>
                </c:pt>
                <c:pt idx="5">
                  <c:v>706800</c:v>
                </c:pt>
                <c:pt idx="6">
                  <c:v>2350000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78798457"/>
        <c:axId val="229763051"/>
      </c:barChart>
      <c:catAx>
        <c:axId val="978798457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763051"/>
        <c:crosses val="autoZero"/>
        <c:auto val="1"/>
        <c:lblAlgn val="ctr"/>
        <c:lblOffset val="100"/>
        <c:noMultiLvlLbl val="0"/>
      </c:catAx>
      <c:valAx>
        <c:axId val="2297630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7984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b03809-8311-4311-a752-fa15c5a435f7}"/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906780</xdr:colOff>
      <xdr:row>14</xdr:row>
      <xdr:rowOff>161925</xdr:rowOff>
    </xdr:from>
    <xdr:to>
      <xdr:col>10</xdr:col>
      <xdr:colOff>478155</xdr:colOff>
      <xdr:row>28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ales Pers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9305" y="26955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160655</xdr:colOff>
      <xdr:row>8</xdr:row>
      <xdr:rowOff>67945</xdr:rowOff>
    </xdr:from>
    <xdr:to>
      <xdr:col>1</xdr:col>
      <xdr:colOff>1065530</xdr:colOff>
      <xdr:row>21</xdr:row>
      <xdr:rowOff>90170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55" y="15157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114935</xdr:colOff>
      <xdr:row>12</xdr:row>
      <xdr:rowOff>41910</xdr:rowOff>
    </xdr:from>
    <xdr:to>
      <xdr:col>4</xdr:col>
      <xdr:colOff>1010285</xdr:colOff>
      <xdr:row>25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3410" y="22136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236220</xdr:colOff>
      <xdr:row>1</xdr:row>
      <xdr:rowOff>45085</xdr:rowOff>
    </xdr:from>
    <xdr:to>
      <xdr:col>16</xdr:col>
      <xdr:colOff>454660</xdr:colOff>
      <xdr:row>4</xdr:row>
      <xdr:rowOff>18415</xdr:rowOff>
    </xdr:to>
    <xdr:sp>
      <xdr:nvSpPr>
        <xdr:cNvPr id="3" name="Rounded Rectangle 2"/>
        <xdr:cNvSpPr/>
      </xdr:nvSpPr>
      <xdr:spPr>
        <a:xfrm>
          <a:off x="922020" y="226060"/>
          <a:ext cx="10505440" cy="51625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400" b="1">
              <a:solidFill>
                <a:sysClr val="windowText" lastClr="000000"/>
              </a:solidFill>
            </a:rPr>
            <a:t>                                              SALES DASHBOARD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114300</xdr:colOff>
      <xdr:row>5</xdr:row>
      <xdr:rowOff>93980</xdr:rowOff>
    </xdr:from>
    <xdr:to>
      <xdr:col>4</xdr:col>
      <xdr:colOff>59055</xdr:colOff>
      <xdr:row>10</xdr:row>
      <xdr:rowOff>6350</xdr:rowOff>
    </xdr:to>
    <xdr:sp>
      <xdr:nvSpPr>
        <xdr:cNvPr id="4" name="Rounded Rectangle 3"/>
        <xdr:cNvSpPr/>
      </xdr:nvSpPr>
      <xdr:spPr>
        <a:xfrm>
          <a:off x="1485900" y="998855"/>
          <a:ext cx="1316355" cy="81724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200" b="1">
              <a:solidFill>
                <a:sysClr val="windowText" lastClr="000000"/>
              </a:solidFill>
            </a:rPr>
            <a:t>TOTAL SALES</a:t>
          </a:r>
          <a:endParaRPr lang="en-US" sz="1200" b="1">
            <a:solidFill>
              <a:sysClr val="windowText" lastClr="000000"/>
            </a:solidFill>
          </a:endParaRPr>
        </a:p>
        <a:p>
          <a:pPr algn="l"/>
          <a:endParaRPr lang="en-US" sz="1200" b="1">
            <a:solidFill>
              <a:sysClr val="windowText" lastClr="000000"/>
            </a:solidFill>
          </a:endParaRP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12944500</a:t>
          </a:r>
          <a:endParaRPr lang="en-US" sz="1200" b="1">
            <a:solidFill>
              <a:sysClr val="windowText" lastClr="000000"/>
            </a:solidFill>
          </a:endParaRPr>
        </a:p>
        <a:p>
          <a:pPr algn="l"/>
          <a:endParaRPr lang="en-US" sz="1200" b="1">
            <a:solidFill>
              <a:sysClr val="windowText" lastClr="000000"/>
            </a:solidFill>
          </a:endParaRPr>
        </a:p>
        <a:p>
          <a:pPr algn="l"/>
          <a:r>
            <a:rPr lang="en-US" sz="1200" b="1">
              <a:solidFill>
                <a:sysClr val="windowText" lastClr="000000"/>
              </a:solidFill>
            </a:rPr>
            <a:t> 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421005</xdr:colOff>
      <xdr:row>5</xdr:row>
      <xdr:rowOff>72390</xdr:rowOff>
    </xdr:from>
    <xdr:to>
      <xdr:col>6</xdr:col>
      <xdr:colOff>365760</xdr:colOff>
      <xdr:row>9</xdr:row>
      <xdr:rowOff>165735</xdr:rowOff>
    </xdr:to>
    <xdr:sp>
      <xdr:nvSpPr>
        <xdr:cNvPr id="14" name="Rounded Rectangle 13"/>
        <xdr:cNvSpPr/>
      </xdr:nvSpPr>
      <xdr:spPr>
        <a:xfrm>
          <a:off x="3164205" y="977265"/>
          <a:ext cx="1316355" cy="81724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</a:rPr>
            <a:t>AVRAGE SALES</a:t>
          </a:r>
          <a:endParaRPr lang="en-US" sz="1200" b="1">
            <a:solidFill>
              <a:sysClr val="windowText" lastClr="000000"/>
            </a:solidFill>
          </a:endParaRPr>
        </a:p>
        <a:p>
          <a:pPr algn="ctr"/>
          <a:endParaRPr lang="en-US" sz="1200" b="1">
            <a:solidFill>
              <a:sysClr val="windowText" lastClr="000000"/>
            </a:solidFill>
          </a:endParaRP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135900</a:t>
          </a:r>
          <a:endParaRPr lang="en-US" sz="1200" b="1">
            <a:solidFill>
              <a:sysClr val="windowText" lastClr="000000"/>
            </a:solidFill>
          </a:endParaRPr>
        </a:p>
        <a:p>
          <a:pPr algn="ctr"/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71120</xdr:colOff>
      <xdr:row>5</xdr:row>
      <xdr:rowOff>93345</xdr:rowOff>
    </xdr:from>
    <xdr:to>
      <xdr:col>9</xdr:col>
      <xdr:colOff>15875</xdr:colOff>
      <xdr:row>10</xdr:row>
      <xdr:rowOff>5715</xdr:rowOff>
    </xdr:to>
    <xdr:sp>
      <xdr:nvSpPr>
        <xdr:cNvPr id="16" name="Rounded Rectangle 15"/>
        <xdr:cNvSpPr/>
      </xdr:nvSpPr>
      <xdr:spPr>
        <a:xfrm>
          <a:off x="4871720" y="998220"/>
          <a:ext cx="1316355" cy="81724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ysClr val="windowText" lastClr="000000"/>
              </a:solidFill>
            </a:rPr>
            <a:t>UNIT SOLD</a:t>
          </a:r>
          <a:endParaRPr lang="en-US" sz="1100" b="1">
            <a:solidFill>
              <a:sysClr val="windowText" lastClr="000000"/>
            </a:solidFill>
          </a:endParaRPr>
        </a:p>
        <a:p>
          <a:pPr algn="ctr"/>
          <a:endParaRPr lang="en-US" sz="1100" b="1">
            <a:solidFill>
              <a:sysClr val="windowText" lastClr="000000"/>
            </a:solidFill>
          </a:endParaRP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258890</a:t>
          </a:r>
          <a:endParaRPr lang="en-US" sz="1100" b="1">
            <a:solidFill>
              <a:sysClr val="windowText" lastClr="000000"/>
            </a:solidFill>
          </a:endParaRPr>
        </a:p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514985</xdr:colOff>
      <xdr:row>5</xdr:row>
      <xdr:rowOff>72390</xdr:rowOff>
    </xdr:from>
    <xdr:to>
      <xdr:col>11</xdr:col>
      <xdr:colOff>459740</xdr:colOff>
      <xdr:row>9</xdr:row>
      <xdr:rowOff>165735</xdr:rowOff>
    </xdr:to>
    <xdr:sp>
      <xdr:nvSpPr>
        <xdr:cNvPr id="17" name="Rounded Rectangle 16"/>
        <xdr:cNvSpPr/>
      </xdr:nvSpPr>
      <xdr:spPr>
        <a:xfrm>
          <a:off x="6687185" y="977265"/>
          <a:ext cx="1316355" cy="81724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</a:rPr>
            <a:t>PROFIT</a:t>
          </a:r>
          <a:endParaRPr lang="en-US" sz="1200" b="1">
            <a:solidFill>
              <a:sysClr val="windowText" lastClr="000000"/>
            </a:solidFill>
          </a:endParaRPr>
        </a:p>
        <a:p>
          <a:pPr algn="ctr"/>
          <a:endParaRPr lang="en-US" sz="1200" b="1">
            <a:solidFill>
              <a:sysClr val="windowText" lastClr="000000"/>
            </a:solidFill>
          </a:endParaRP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3834400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395605</xdr:colOff>
      <xdr:row>10</xdr:row>
      <xdr:rowOff>53340</xdr:rowOff>
    </xdr:from>
    <xdr:to>
      <xdr:col>4</xdr:col>
      <xdr:colOff>9525</xdr:colOff>
      <xdr:row>27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Sales 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405" y="1863090"/>
              <a:ext cx="1671320" cy="3194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396875</xdr:colOff>
      <xdr:row>28</xdr:row>
      <xdr:rowOff>75565</xdr:rowOff>
    </xdr:from>
    <xdr:to>
      <xdr:col>3</xdr:col>
      <xdr:colOff>676275</xdr:colOff>
      <xdr:row>40</xdr:row>
      <xdr:rowOff>85090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675" y="5142865"/>
              <a:ext cx="1651000" cy="2181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231140</xdr:colOff>
      <xdr:row>10</xdr:row>
      <xdr:rowOff>78105</xdr:rowOff>
    </xdr:from>
    <xdr:to>
      <xdr:col>16</xdr:col>
      <xdr:colOff>208280</xdr:colOff>
      <xdr:row>26</xdr:row>
      <xdr:rowOff>62865</xdr:rowOff>
    </xdr:to>
    <xdr:graphicFrame>
      <xdr:nvGraphicFramePr>
        <xdr:cNvPr id="30" name="Chart 29"/>
        <xdr:cNvGraphicFramePr/>
      </xdr:nvGraphicFramePr>
      <xdr:xfrm>
        <a:off x="7089140" y="1887855"/>
        <a:ext cx="4091940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196850</xdr:colOff>
      <xdr:row>10</xdr:row>
      <xdr:rowOff>61595</xdr:rowOff>
    </xdr:from>
    <xdr:to>
      <xdr:col>10</xdr:col>
      <xdr:colOff>156210</xdr:colOff>
      <xdr:row>26</xdr:row>
      <xdr:rowOff>108585</xdr:rowOff>
    </xdr:to>
    <xdr:graphicFrame>
      <xdr:nvGraphicFramePr>
        <xdr:cNvPr id="31" name="Chart 30"/>
        <xdr:cNvGraphicFramePr/>
      </xdr:nvGraphicFramePr>
      <xdr:xfrm>
        <a:off x="2940050" y="1871345"/>
        <a:ext cx="4074160" cy="2942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145415</xdr:colOff>
      <xdr:row>26</xdr:row>
      <xdr:rowOff>121920</xdr:rowOff>
    </xdr:from>
    <xdr:to>
      <xdr:col>10</xdr:col>
      <xdr:colOff>342900</xdr:colOff>
      <xdr:row>40</xdr:row>
      <xdr:rowOff>74295</xdr:rowOff>
    </xdr:to>
    <xdr:graphicFrame>
      <xdr:nvGraphicFramePr>
        <xdr:cNvPr id="32" name="Chart 31"/>
        <xdr:cNvGraphicFramePr/>
      </xdr:nvGraphicFramePr>
      <xdr:xfrm>
        <a:off x="2888615" y="4827270"/>
        <a:ext cx="4312285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391795</xdr:colOff>
      <xdr:row>26</xdr:row>
      <xdr:rowOff>89535</xdr:rowOff>
    </xdr:from>
    <xdr:to>
      <xdr:col>16</xdr:col>
      <xdr:colOff>158750</xdr:colOff>
      <xdr:row>40</xdr:row>
      <xdr:rowOff>69215</xdr:rowOff>
    </xdr:to>
    <xdr:graphicFrame>
      <xdr:nvGraphicFramePr>
        <xdr:cNvPr id="33" name="Chart 32"/>
        <xdr:cNvGraphicFramePr/>
      </xdr:nvGraphicFramePr>
      <xdr:xfrm>
        <a:off x="7249795" y="4794885"/>
        <a:ext cx="3881755" cy="2513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12</xdr:col>
      <xdr:colOff>176530</xdr:colOff>
      <xdr:row>5</xdr:row>
      <xdr:rowOff>29210</xdr:rowOff>
    </xdr:from>
    <xdr:to>
      <xdr:col>15</xdr:col>
      <xdr:colOff>405130</xdr:colOff>
      <xdr:row>10</xdr:row>
      <xdr:rowOff>38735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06130" y="934085"/>
              <a:ext cx="22860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9813773148" refreshedBy="HP R5" recordCount="50">
  <cacheSource type="worksheet">
    <worksheetSource name="Table1"/>
  </cacheSource>
  <cacheFields count="9">
    <cacheField name="Date" numFmtId="58">
      <sharedItems containsSemiMixedTypes="0" containsString="0" containsNonDate="0" containsDate="1" minDate="2020-05-07T00:00:00" maxDate="2021-12-21T00:00:00" count="47">
        <d v="2021-02-19T00:00:00"/>
        <d v="2021-09-07T00:00:00"/>
        <d v="2021-02-03T00:00:00"/>
        <d v="2020-09-11T00:00:00"/>
        <d v="2021-09-23T00:00:00"/>
        <d v="2020-10-01T00:00:00"/>
        <d v="2021-08-05T00:00:00"/>
        <d v="2020-11-06T00:00:00"/>
        <d v="2021-01-27T00:00:00"/>
        <d v="2021-09-03T00:00:00"/>
        <d v="2021-09-30T00:00:00"/>
        <d v="2020-09-10T00:00:00"/>
        <d v="2021-07-27T00:00:00"/>
        <d v="2020-10-09T00:00:00"/>
        <d v="2021-04-06T00:00:00"/>
        <d v="2021-06-15T00:00:00"/>
        <d v="2020-09-09T00:00:00"/>
        <d v="2021-08-13T00:00:00"/>
        <d v="2020-08-27T00:00:00"/>
        <d v="2021-04-07T00:00:00"/>
        <d v="2020-06-08T00:00:00"/>
        <d v="2021-12-21T00:00:00"/>
        <d v="2021-08-10T00:00:00"/>
        <d v="2021-12-02T00:00:00"/>
        <d v="2021-08-30T00:00:00"/>
        <d v="2020-05-20T00:00:00"/>
        <d v="2021-09-13T00:00:00"/>
        <d v="2021-10-27T00:00:00"/>
        <d v="2020-12-22T00:00:00"/>
        <d v="2021-07-28T00:00:00"/>
        <d v="2020-09-29T00:00:00"/>
        <d v="2020-10-22T00:00:00"/>
        <d v="2020-05-19T00:00:00"/>
        <d v="2021-12-06T00:00:00"/>
        <d v="2020-08-26T00:00:00"/>
        <d v="2021-07-01T00:00:00"/>
        <d v="2020-10-05T00:00:00"/>
        <d v="2020-09-02T00:00:00"/>
        <d v="2021-09-02T00:00:00"/>
        <d v="2021-04-13T00:00:00"/>
        <d v="2021-05-06T00:00:00"/>
        <d v="2021-01-15T00:00:00"/>
        <d v="2021-02-05T00:00:00"/>
        <d v="2021-11-17T00:00:00"/>
        <d v="2020-12-28T00:00:00"/>
        <d v="2021-11-02T00:00:00"/>
        <d v="2020-05-07T00:00:00"/>
      </sharedItems>
    </cacheField>
    <cacheField name="Sales Person" numFmtId="0">
      <sharedItems count="10">
        <s v="Andrew"/>
        <s v="Grace"/>
        <s v="Ella"/>
        <s v="Cameron"/>
        <s v="Megan"/>
        <s v="Carolyn"/>
        <s v="Virginia"/>
        <s v="Connor"/>
        <s v="Anna"/>
        <s v="Nicholas"/>
      </sharedItems>
    </cacheField>
    <cacheField name="Region" numFmtId="0">
      <sharedItems count="4">
        <s v="West"/>
        <s v="East"/>
        <s v="South"/>
        <s v="North"/>
      </sharedItems>
    </cacheField>
    <cacheField name="Product" numFmtId="0">
      <sharedItems count="7">
        <s v="Tent"/>
        <s v="Blender"/>
        <s v="Action Figure"/>
        <s v="Novel"/>
        <s v="Sneakers"/>
        <s v="Moisturizer"/>
        <s v="Smartphone"/>
      </sharedItems>
    </cacheField>
    <cacheField name="Units Sold" numFmtId="0">
      <sharedItems containsSemiMixedTypes="0" containsString="0" containsNumber="1" containsInteger="1" minValue="51" maxValue="149" count="40">
        <n v="84"/>
        <n v="128"/>
        <n v="136"/>
        <n v="91"/>
        <n v="110"/>
        <n v="51"/>
        <n v="78"/>
        <n v="146"/>
        <n v="101"/>
        <n v="52"/>
        <n v="55"/>
        <n v="137"/>
        <n v="96"/>
        <n v="76"/>
        <n v="145"/>
        <n v="83"/>
        <n v="108"/>
        <n v="144"/>
        <n v="92"/>
        <n v="71"/>
        <n v="103"/>
        <n v="93"/>
        <n v="143"/>
        <n v="99"/>
        <n v="120"/>
        <n v="66"/>
        <n v="88"/>
        <n v="127"/>
        <n v="67"/>
        <n v="149"/>
        <n v="104"/>
        <n v="57"/>
        <n v="90"/>
        <n v="69"/>
        <n v="59"/>
        <n v="109"/>
        <n v="61"/>
        <n v="130"/>
        <n v="60"/>
        <n v="73"/>
      </sharedItems>
    </cacheField>
    <cacheField name="Unit Price" numFmtId="178">
      <sharedItems containsSemiMixedTypes="0" containsString="0" containsNumber="1" containsInteger="1" minValue="600" maxValue="10000" count="7">
        <n v="6000"/>
        <n v="3500"/>
        <n v="1200"/>
        <n v="1000"/>
        <n v="4000"/>
        <n v="600"/>
        <n v="10000"/>
      </sharedItems>
    </cacheField>
    <cacheField name="Cost of Goods" numFmtId="178">
      <sharedItems containsSemiMixedTypes="0" containsString="0" containsNumber="1" containsInteger="1" minValue="400" maxValue="7000" count="7">
        <n v="4000"/>
        <n v="2500"/>
        <n v="800"/>
        <n v="700"/>
        <n v="3000"/>
        <n v="400"/>
        <n v="7000"/>
      </sharedItems>
    </cacheField>
    <cacheField name="Total Sales" numFmtId="178">
      <sharedItems containsSemiMixedTypes="0" containsString="0" containsNumber="1" containsInteger="1" minValue="34200" maxValue="1270000" count="47">
        <n v="504000"/>
        <n v="448000"/>
        <n v="163200"/>
        <n v="91000"/>
        <n v="440000"/>
        <n v="61200"/>
        <n v="78000"/>
        <n v="876000"/>
        <n v="60600"/>
        <n v="312000"/>
        <n v="66000"/>
        <n v="137000"/>
        <n v="336000"/>
        <n v="208000"/>
        <n v="266000"/>
        <n v="580000"/>
        <n v="49800"/>
        <n v="1080000"/>
        <n v="576000"/>
        <n v="55200"/>
        <n v="426000"/>
        <n v="61800"/>
        <n v="55000"/>
        <n v="372000"/>
        <n v="85800"/>
        <n v="500500"/>
        <n v="59400"/>
        <n v="120000"/>
        <n v="231000"/>
        <n v="105600"/>
        <n v="1270000"/>
        <n v="268000"/>
        <n v="80400"/>
        <n v="149000"/>
        <n v="62400"/>
        <n v="34200"/>
        <n v="54000"/>
        <n v="40200"/>
        <n v="508000"/>
        <n v="108000"/>
        <n v="468000"/>
        <n v="69000"/>
        <n v="70800"/>
        <n v="65400"/>
        <n v="244000"/>
        <n v="210000"/>
        <n v="438000"/>
      </sharedItems>
    </cacheField>
    <cacheField name="PROFIT" numFmtId="178">
      <sharedItems containsSemiMixedTypes="0" containsString="0" containsNumber="1" containsInteger="1" minValue="11400" maxValue="381000" count="48">
        <n v="168000"/>
        <n v="128000"/>
        <n v="54400"/>
        <n v="27300"/>
        <n v="110000"/>
        <n v="20400"/>
        <n v="23400"/>
        <n v="292000"/>
        <n v="20200"/>
        <n v="104000"/>
        <n v="22000"/>
        <n v="41100"/>
        <n v="96000"/>
        <n v="52000"/>
        <n v="76000"/>
        <n v="145000"/>
        <n v="16600"/>
        <n v="324000"/>
        <n v="144000"/>
        <n v="18400"/>
        <n v="142000"/>
        <n v="20600"/>
        <n v="16500"/>
        <n v="93000"/>
        <n v="28600"/>
        <n v="143000"/>
        <n v="19800"/>
        <n v="36000"/>
        <n v="66000"/>
        <n v="35200"/>
        <n v="381000"/>
        <n v="67000"/>
        <n v="26800"/>
        <n v="44700"/>
        <n v="20800"/>
        <n v="11400"/>
        <n v="18000"/>
        <n v="13400"/>
        <n v="127000"/>
        <n v="32400"/>
        <n v="156000"/>
        <n v="20700"/>
        <n v="23600"/>
        <n v="21800"/>
        <n v="61000"/>
        <n v="26000"/>
        <n v="60000"/>
        <n v="146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</r>
  <r>
    <x v="4"/>
    <x v="4"/>
    <x v="0"/>
    <x v="4"/>
    <x v="4"/>
    <x v="4"/>
    <x v="4"/>
    <x v="4"/>
    <x v="4"/>
  </r>
  <r>
    <x v="5"/>
    <x v="5"/>
    <x v="1"/>
    <x v="2"/>
    <x v="5"/>
    <x v="2"/>
    <x v="2"/>
    <x v="5"/>
    <x v="5"/>
  </r>
  <r>
    <x v="6"/>
    <x v="6"/>
    <x v="3"/>
    <x v="3"/>
    <x v="6"/>
    <x v="3"/>
    <x v="3"/>
    <x v="6"/>
    <x v="6"/>
  </r>
  <r>
    <x v="7"/>
    <x v="7"/>
    <x v="2"/>
    <x v="0"/>
    <x v="7"/>
    <x v="0"/>
    <x v="0"/>
    <x v="7"/>
    <x v="7"/>
  </r>
  <r>
    <x v="8"/>
    <x v="8"/>
    <x v="0"/>
    <x v="5"/>
    <x v="8"/>
    <x v="5"/>
    <x v="5"/>
    <x v="8"/>
    <x v="8"/>
  </r>
  <r>
    <x v="9"/>
    <x v="9"/>
    <x v="2"/>
    <x v="0"/>
    <x v="9"/>
    <x v="0"/>
    <x v="0"/>
    <x v="9"/>
    <x v="9"/>
  </r>
  <r>
    <x v="10"/>
    <x v="9"/>
    <x v="1"/>
    <x v="2"/>
    <x v="10"/>
    <x v="2"/>
    <x v="2"/>
    <x v="10"/>
    <x v="10"/>
  </r>
  <r>
    <x v="11"/>
    <x v="9"/>
    <x v="2"/>
    <x v="3"/>
    <x v="11"/>
    <x v="3"/>
    <x v="3"/>
    <x v="11"/>
    <x v="11"/>
  </r>
  <r>
    <x v="12"/>
    <x v="7"/>
    <x v="2"/>
    <x v="1"/>
    <x v="12"/>
    <x v="1"/>
    <x v="1"/>
    <x v="12"/>
    <x v="12"/>
  </r>
  <r>
    <x v="13"/>
    <x v="8"/>
    <x v="1"/>
    <x v="4"/>
    <x v="9"/>
    <x v="4"/>
    <x v="4"/>
    <x v="13"/>
    <x v="13"/>
  </r>
  <r>
    <x v="14"/>
    <x v="3"/>
    <x v="0"/>
    <x v="1"/>
    <x v="13"/>
    <x v="1"/>
    <x v="1"/>
    <x v="14"/>
    <x v="14"/>
  </r>
  <r>
    <x v="15"/>
    <x v="1"/>
    <x v="3"/>
    <x v="4"/>
    <x v="14"/>
    <x v="4"/>
    <x v="4"/>
    <x v="15"/>
    <x v="15"/>
  </r>
  <r>
    <x v="16"/>
    <x v="0"/>
    <x v="2"/>
    <x v="5"/>
    <x v="15"/>
    <x v="5"/>
    <x v="5"/>
    <x v="16"/>
    <x v="16"/>
  </r>
  <r>
    <x v="17"/>
    <x v="4"/>
    <x v="2"/>
    <x v="3"/>
    <x v="3"/>
    <x v="3"/>
    <x v="3"/>
    <x v="3"/>
    <x v="3"/>
  </r>
  <r>
    <x v="18"/>
    <x v="5"/>
    <x v="0"/>
    <x v="6"/>
    <x v="16"/>
    <x v="6"/>
    <x v="6"/>
    <x v="17"/>
    <x v="17"/>
  </r>
  <r>
    <x v="19"/>
    <x v="2"/>
    <x v="3"/>
    <x v="4"/>
    <x v="17"/>
    <x v="4"/>
    <x v="4"/>
    <x v="18"/>
    <x v="18"/>
  </r>
  <r>
    <x v="20"/>
    <x v="4"/>
    <x v="2"/>
    <x v="5"/>
    <x v="18"/>
    <x v="5"/>
    <x v="5"/>
    <x v="19"/>
    <x v="19"/>
  </r>
  <r>
    <x v="21"/>
    <x v="7"/>
    <x v="0"/>
    <x v="0"/>
    <x v="19"/>
    <x v="0"/>
    <x v="0"/>
    <x v="20"/>
    <x v="20"/>
  </r>
  <r>
    <x v="22"/>
    <x v="0"/>
    <x v="1"/>
    <x v="5"/>
    <x v="20"/>
    <x v="5"/>
    <x v="5"/>
    <x v="21"/>
    <x v="21"/>
  </r>
  <r>
    <x v="23"/>
    <x v="9"/>
    <x v="3"/>
    <x v="3"/>
    <x v="10"/>
    <x v="3"/>
    <x v="3"/>
    <x v="22"/>
    <x v="22"/>
  </r>
  <r>
    <x v="24"/>
    <x v="5"/>
    <x v="1"/>
    <x v="4"/>
    <x v="21"/>
    <x v="4"/>
    <x v="4"/>
    <x v="23"/>
    <x v="23"/>
  </r>
  <r>
    <x v="25"/>
    <x v="2"/>
    <x v="2"/>
    <x v="5"/>
    <x v="22"/>
    <x v="5"/>
    <x v="5"/>
    <x v="24"/>
    <x v="24"/>
  </r>
  <r>
    <x v="26"/>
    <x v="6"/>
    <x v="0"/>
    <x v="1"/>
    <x v="22"/>
    <x v="1"/>
    <x v="1"/>
    <x v="25"/>
    <x v="25"/>
  </r>
  <r>
    <x v="27"/>
    <x v="8"/>
    <x v="3"/>
    <x v="5"/>
    <x v="23"/>
    <x v="5"/>
    <x v="5"/>
    <x v="26"/>
    <x v="26"/>
  </r>
  <r>
    <x v="28"/>
    <x v="3"/>
    <x v="0"/>
    <x v="3"/>
    <x v="24"/>
    <x v="3"/>
    <x v="3"/>
    <x v="27"/>
    <x v="27"/>
  </r>
  <r>
    <x v="29"/>
    <x v="1"/>
    <x v="2"/>
    <x v="1"/>
    <x v="25"/>
    <x v="1"/>
    <x v="1"/>
    <x v="28"/>
    <x v="28"/>
  </r>
  <r>
    <x v="30"/>
    <x v="8"/>
    <x v="3"/>
    <x v="2"/>
    <x v="26"/>
    <x v="2"/>
    <x v="2"/>
    <x v="29"/>
    <x v="29"/>
  </r>
  <r>
    <x v="31"/>
    <x v="3"/>
    <x v="1"/>
    <x v="6"/>
    <x v="27"/>
    <x v="6"/>
    <x v="6"/>
    <x v="30"/>
    <x v="30"/>
  </r>
  <r>
    <x v="32"/>
    <x v="4"/>
    <x v="0"/>
    <x v="4"/>
    <x v="28"/>
    <x v="4"/>
    <x v="4"/>
    <x v="31"/>
    <x v="31"/>
  </r>
  <r>
    <x v="33"/>
    <x v="1"/>
    <x v="1"/>
    <x v="2"/>
    <x v="28"/>
    <x v="2"/>
    <x v="2"/>
    <x v="32"/>
    <x v="32"/>
  </r>
  <r>
    <x v="34"/>
    <x v="9"/>
    <x v="2"/>
    <x v="3"/>
    <x v="29"/>
    <x v="3"/>
    <x v="3"/>
    <x v="33"/>
    <x v="33"/>
  </r>
  <r>
    <x v="35"/>
    <x v="4"/>
    <x v="3"/>
    <x v="5"/>
    <x v="30"/>
    <x v="5"/>
    <x v="5"/>
    <x v="34"/>
    <x v="34"/>
  </r>
  <r>
    <x v="12"/>
    <x v="7"/>
    <x v="0"/>
    <x v="5"/>
    <x v="31"/>
    <x v="5"/>
    <x v="5"/>
    <x v="35"/>
    <x v="35"/>
  </r>
  <r>
    <x v="36"/>
    <x v="2"/>
    <x v="1"/>
    <x v="5"/>
    <x v="32"/>
    <x v="5"/>
    <x v="5"/>
    <x v="36"/>
    <x v="36"/>
  </r>
  <r>
    <x v="37"/>
    <x v="5"/>
    <x v="2"/>
    <x v="5"/>
    <x v="28"/>
    <x v="5"/>
    <x v="5"/>
    <x v="37"/>
    <x v="37"/>
  </r>
  <r>
    <x v="38"/>
    <x v="0"/>
    <x v="3"/>
    <x v="4"/>
    <x v="27"/>
    <x v="4"/>
    <x v="4"/>
    <x v="38"/>
    <x v="38"/>
  </r>
  <r>
    <x v="39"/>
    <x v="5"/>
    <x v="0"/>
    <x v="3"/>
    <x v="16"/>
    <x v="3"/>
    <x v="3"/>
    <x v="39"/>
    <x v="39"/>
  </r>
  <r>
    <x v="40"/>
    <x v="2"/>
    <x v="1"/>
    <x v="1"/>
    <x v="25"/>
    <x v="1"/>
    <x v="1"/>
    <x v="28"/>
    <x v="28"/>
  </r>
  <r>
    <x v="41"/>
    <x v="0"/>
    <x v="3"/>
    <x v="0"/>
    <x v="6"/>
    <x v="0"/>
    <x v="0"/>
    <x v="40"/>
    <x v="40"/>
  </r>
  <r>
    <x v="18"/>
    <x v="7"/>
    <x v="2"/>
    <x v="3"/>
    <x v="33"/>
    <x v="3"/>
    <x v="3"/>
    <x v="41"/>
    <x v="41"/>
  </r>
  <r>
    <x v="42"/>
    <x v="4"/>
    <x v="0"/>
    <x v="2"/>
    <x v="34"/>
    <x v="2"/>
    <x v="2"/>
    <x v="42"/>
    <x v="42"/>
  </r>
  <r>
    <x v="43"/>
    <x v="9"/>
    <x v="2"/>
    <x v="5"/>
    <x v="35"/>
    <x v="5"/>
    <x v="5"/>
    <x v="43"/>
    <x v="43"/>
  </r>
  <r>
    <x v="44"/>
    <x v="8"/>
    <x v="1"/>
    <x v="4"/>
    <x v="36"/>
    <x v="4"/>
    <x v="4"/>
    <x v="44"/>
    <x v="44"/>
  </r>
  <r>
    <x v="27"/>
    <x v="4"/>
    <x v="3"/>
    <x v="5"/>
    <x v="37"/>
    <x v="5"/>
    <x v="5"/>
    <x v="6"/>
    <x v="45"/>
  </r>
  <r>
    <x v="45"/>
    <x v="3"/>
    <x v="2"/>
    <x v="1"/>
    <x v="38"/>
    <x v="1"/>
    <x v="1"/>
    <x v="45"/>
    <x v="46"/>
  </r>
  <r>
    <x v="46"/>
    <x v="1"/>
    <x v="1"/>
    <x v="0"/>
    <x v="39"/>
    <x v="0"/>
    <x v="0"/>
    <x v="46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9">
    <pivotField compact="0" numFmtId="5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5">
        <item x="1"/>
        <item x="3"/>
        <item x="2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8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11" firstHeaderRow="1" firstDataRow="1" firstDataCol="1"/>
  <pivotFields count="9">
    <pivotField compact="0" numFmtId="58" showAll="0">
      <items count="48">
        <item x="46"/>
        <item x="32"/>
        <item x="25"/>
        <item x="20"/>
        <item x="34"/>
        <item x="18"/>
        <item x="37"/>
        <item x="16"/>
        <item x="11"/>
        <item x="3"/>
        <item x="30"/>
        <item x="5"/>
        <item x="36"/>
        <item x="13"/>
        <item x="31"/>
        <item x="7"/>
        <item x="28"/>
        <item x="44"/>
        <item x="41"/>
        <item x="8"/>
        <item x="2"/>
        <item x="42"/>
        <item x="0"/>
        <item x="14"/>
        <item x="19"/>
        <item x="39"/>
        <item x="40"/>
        <item x="15"/>
        <item x="35"/>
        <item x="12"/>
        <item x="29"/>
        <item x="6"/>
        <item x="22"/>
        <item x="17"/>
        <item x="24"/>
        <item x="38"/>
        <item x="9"/>
        <item x="1"/>
        <item x="26"/>
        <item x="4"/>
        <item x="10"/>
        <item x="27"/>
        <item x="45"/>
        <item x="43"/>
        <item x="23"/>
        <item x="33"/>
        <item x="2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8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11" firstHeaderRow="1" firstDataRow="1" firstDataCol="1"/>
  <pivotFields count="9">
    <pivotField compact="0" numFmtId="5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8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3:K14" firstHeaderRow="1" firstDataRow="1" firstDataCol="1"/>
  <pivotFields count="9">
    <pivotField compact="0" numFmtId="5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8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8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7" name="PivotTable2"/>
    <pivotTable tabId="7" name="PivotTable1"/>
    <pivotTable tabId="7" name="PivotTable3"/>
    <pivotTable tabId="7" name="PivotTable4"/>
  </pivotTables>
  <data>
    <tabular pivotCacheId="1">
      <items count="7">
        <i x="2" s="1"/>
        <i x="1" s="1"/>
        <i x="5" s="1"/>
        <i x="3" s="1"/>
        <i x="6" s="1"/>
        <i x="4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2"/>
    <pivotTable tabId="7" name="PivotTable1"/>
    <pivotTable tabId="7" name="PivotTable3"/>
    <pivotTable tabId="7" name="PivotTable4"/>
  </pivotTables>
  <data>
    <tabular pivotCacheId="1">
      <items count="4">
        <i x="1" s="1"/>
        <i x="3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Person" sourceName="Sales Person">
  <pivotTables>
    <pivotTable tabId="7" name="PivotTable2"/>
    <pivotTable tabId="7" name="PivotTable1"/>
    <pivotTable tabId="7" name="PivotTable3"/>
    <pivotTable tabId="7" name="PivotTable4"/>
  </pivotTables>
  <data>
    <tabular pivotCacheId="1">
      <items count="10">
        <i x="0" s="1"/>
        <i x="8" s="1"/>
        <i x="3" s="1"/>
        <i x="5" s="1"/>
        <i x="7" s="1"/>
        <i x="2" s="1"/>
        <i x="1" s="1"/>
        <i x="4" s="1"/>
        <i x="9" s="1"/>
        <i x="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ales Person 1" cache="Slicer_Sales_Person" caption="Sales Person" rowHeight="225425"/>
  <slicer name="Region 2" cache="Slicer_Region" caption="Region" rowHeight="225425"/>
  <slicer name="Product 3" cache="Slicer_Product" caption="Produc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2" showCaption="0" rowHeight="274320"/>
  <slicer name="Sales Person" cache="Slicer_Sales_Person" caption="Sales Person" rowHeight="225425"/>
  <slicer name="Product" cache="Slicer_Product" caption="Product" rowHeight="225425"/>
</slicers>
</file>

<file path=xl/tables/table1.xml><?xml version="1.0" encoding="utf-8"?>
<table xmlns="http://schemas.openxmlformats.org/spreadsheetml/2006/main" id="1" name="Table1" displayName="Table1" ref="A1:I51" totalsRowShown="0">
  <autoFilter xmlns:etc="http://www.wps.cn/officeDocument/2017/etCustomData" ref="A1:I51" etc:filterBottomFollowUsedRange="0"/>
  <tableColumns count="9">
    <tableColumn id="1" name="Date"/>
    <tableColumn id="2" name="Sales Person"/>
    <tableColumn id="3" name="Region"/>
    <tableColumn id="4" name="Product"/>
    <tableColumn id="5" name="Units Sold"/>
    <tableColumn id="6" name="Unit Price">
      <calculatedColumnFormula>IF(D2="Tent",6000,IF(D2="Blender",3500,IF(D2="Action Figure",1200,IF(D2="Novel",1000,IF(D2="Sneakers",4000,IF(D2="Smartphone",10000,IF(D2="moisturizer",600,"No Product Found")))))))</calculatedColumnFormula>
    </tableColumn>
    <tableColumn id="7" name="Cost of Goods">
      <calculatedColumnFormula>IF(D2="Tent",4000,IF(D2="Blender",2500,IF(D2="Action Figure",800,IF(D2="Novel",700,IF(D2="Sneakers",3000,IF(D2="Smartphone",7000,IF(D2="moisturizer",400,"No Product Found")))))))</calculatedColumnFormula>
    </tableColumn>
    <tableColumn id="8" name="Total Sales">
      <calculatedColumnFormula>F2*E2</calculatedColumnFormula>
    </tableColumn>
    <tableColumn id="9" name="PROFIT">
      <calculatedColumnFormula>H2-(G2*E2)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K1:K8" totalsRowShown="0">
  <autoFilter xmlns:etc="http://www.wps.cn/officeDocument/2017/etCustomData" ref="K1:K8" etc:filterBottomFollowUsedRange="0"/>
  <tableColumns count="1">
    <tableColumn id="1" name="GRAN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4"/>
  <sheetViews>
    <sheetView tabSelected="1" zoomScale="80" zoomScaleNormal="80" workbookViewId="0">
      <selection activeCell="A4" sqref="A4"/>
    </sheetView>
  </sheetViews>
  <sheetFormatPr defaultColWidth="9" defaultRowHeight="14.25"/>
  <cols>
    <col min="1" max="1" width="12.125"/>
    <col min="2" max="2" width="18.75"/>
    <col min="4" max="4" width="12.25"/>
    <col min="5" max="5" width="18.75"/>
    <col min="6" max="6" width="14.125"/>
    <col min="7" max="7" width="12.25"/>
    <col min="8" max="8" width="17.875"/>
    <col min="9" max="9" width="14.125"/>
    <col min="10" max="10" width="15.5"/>
    <col min="11" max="11" width="18.75"/>
    <col min="12" max="50" width="14.125"/>
    <col min="51" max="51" width="11"/>
  </cols>
  <sheetData>
    <row r="3" spans="1:11">
      <c r="A3" t="s">
        <v>0</v>
      </c>
      <c r="B3" t="s">
        <v>1</v>
      </c>
      <c r="D3" t="s">
        <v>2</v>
      </c>
      <c r="E3" t="s">
        <v>1</v>
      </c>
      <c r="G3" t="s">
        <v>2</v>
      </c>
      <c r="H3" t="s">
        <v>3</v>
      </c>
      <c r="J3" t="s">
        <v>4</v>
      </c>
      <c r="K3" t="s">
        <v>1</v>
      </c>
    </row>
    <row r="4" spans="1:11">
      <c r="A4" t="s">
        <v>5</v>
      </c>
      <c r="B4">
        <v>3534400</v>
      </c>
      <c r="D4" t="s">
        <v>6</v>
      </c>
      <c r="E4">
        <v>3024000</v>
      </c>
      <c r="G4" t="s">
        <v>6</v>
      </c>
      <c r="H4">
        <v>504</v>
      </c>
      <c r="J4" t="s">
        <v>7</v>
      </c>
      <c r="K4">
        <v>1591600</v>
      </c>
    </row>
    <row r="5" spans="1:11">
      <c r="A5" t="s">
        <v>8</v>
      </c>
      <c r="B5">
        <v>2661400</v>
      </c>
      <c r="D5" t="s">
        <v>9</v>
      </c>
      <c r="E5">
        <v>2222500</v>
      </c>
      <c r="G5" t="s">
        <v>9</v>
      </c>
      <c r="H5">
        <v>635</v>
      </c>
      <c r="J5" t="s">
        <v>10</v>
      </c>
      <c r="K5">
        <v>1777400</v>
      </c>
    </row>
    <row r="6" spans="1:11">
      <c r="A6" t="s">
        <v>11</v>
      </c>
      <c r="B6">
        <v>2870600</v>
      </c>
      <c r="D6" t="s">
        <v>12</v>
      </c>
      <c r="E6">
        <v>547200</v>
      </c>
      <c r="G6" t="s">
        <v>12</v>
      </c>
      <c r="H6">
        <v>456</v>
      </c>
      <c r="J6" t="s">
        <v>13</v>
      </c>
      <c r="K6">
        <v>1110000</v>
      </c>
    </row>
    <row r="7" spans="1:11">
      <c r="A7" t="s">
        <v>14</v>
      </c>
      <c r="B7">
        <v>3878100</v>
      </c>
      <c r="D7" t="s">
        <v>15</v>
      </c>
      <c r="E7">
        <v>898000</v>
      </c>
      <c r="G7" t="s">
        <v>15</v>
      </c>
      <c r="H7">
        <v>898</v>
      </c>
      <c r="J7" t="s">
        <v>16</v>
      </c>
      <c r="K7">
        <v>1957000</v>
      </c>
    </row>
    <row r="8" spans="1:11">
      <c r="A8" t="s">
        <v>17</v>
      </c>
      <c r="B8">
        <v>12944500</v>
      </c>
      <c r="D8" t="s">
        <v>18</v>
      </c>
      <c r="E8">
        <v>3196000</v>
      </c>
      <c r="G8" t="s">
        <v>18</v>
      </c>
      <c r="H8">
        <v>799</v>
      </c>
      <c r="J8" t="s">
        <v>19</v>
      </c>
      <c r="K8">
        <v>1065400</v>
      </c>
    </row>
    <row r="9" spans="1:11">
      <c r="D9" t="s">
        <v>20</v>
      </c>
      <c r="E9">
        <v>706800</v>
      </c>
      <c r="G9" t="s">
        <v>20</v>
      </c>
      <c r="H9">
        <v>1178</v>
      </c>
      <c r="J9" t="s">
        <v>21</v>
      </c>
      <c r="K9">
        <v>1661400</v>
      </c>
    </row>
    <row r="10" spans="1:11">
      <c r="D10" t="s">
        <v>22</v>
      </c>
      <c r="E10">
        <v>2350000</v>
      </c>
      <c r="G10" t="s">
        <v>22</v>
      </c>
      <c r="H10">
        <v>235</v>
      </c>
      <c r="J10" t="s">
        <v>23</v>
      </c>
      <c r="K10">
        <v>578500</v>
      </c>
    </row>
    <row r="11" spans="1:11">
      <c r="D11" t="s">
        <v>17</v>
      </c>
      <c r="E11">
        <v>12944500</v>
      </c>
      <c r="G11" t="s">
        <v>17</v>
      </c>
      <c r="H11">
        <v>4705</v>
      </c>
      <c r="J11" t="s">
        <v>24</v>
      </c>
      <c r="K11">
        <v>1741200</v>
      </c>
    </row>
    <row r="12" spans="1:11">
      <c r="J12" t="s">
        <v>25</v>
      </c>
      <c r="K12">
        <v>677600</v>
      </c>
    </row>
    <row r="13" spans="1:11">
      <c r="J13" t="s">
        <v>26</v>
      </c>
      <c r="K13">
        <v>784400</v>
      </c>
    </row>
    <row r="14" spans="1:11">
      <c r="J14" t="s">
        <v>17</v>
      </c>
      <c r="K14">
        <v>12944500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zoomScale="70" zoomScaleNormal="70" workbookViewId="0">
      <selection activeCell="K8" sqref="K8"/>
    </sheetView>
  </sheetViews>
  <sheetFormatPr defaultColWidth="9" defaultRowHeight="14.25"/>
  <cols>
    <col min="1" max="1" width="12.8416666666667" customWidth="1"/>
    <col min="2" max="2" width="11.3083333333333" customWidth="1"/>
    <col min="4" max="4" width="15.6166666666667" customWidth="1"/>
    <col min="6" max="6" width="16.375" customWidth="1"/>
    <col min="7" max="7" width="13.2333333333333" customWidth="1"/>
    <col min="8" max="8" width="17.25" customWidth="1"/>
    <col min="9" max="9" width="17" customWidth="1"/>
    <col min="10" max="10" width="13.5333333333333" customWidth="1"/>
    <col min="11" max="11" width="13.75" customWidth="1"/>
    <col min="12" max="12" width="14.2333333333333" customWidth="1"/>
  </cols>
  <sheetData>
    <row r="1" ht="20.15" customHeight="1" spans="1:11">
      <c r="A1" s="2" t="s">
        <v>27</v>
      </c>
      <c r="B1" s="2" t="s">
        <v>4</v>
      </c>
      <c r="C1" s="2" t="s">
        <v>0</v>
      </c>
      <c r="D1" s="2" t="s">
        <v>2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K1" s="3" t="s">
        <v>33</v>
      </c>
    </row>
    <row r="2" spans="1:11">
      <c r="A2" s="4">
        <v>44246</v>
      </c>
      <c r="B2" s="5" t="s">
        <v>7</v>
      </c>
      <c r="C2" s="5" t="s">
        <v>14</v>
      </c>
      <c r="D2" s="5" t="s">
        <v>6</v>
      </c>
      <c r="E2" s="6">
        <v>84</v>
      </c>
      <c r="F2" s="7">
        <f>IF(D2="Tent",6000,IF(D2="Blender",3500,IF(D2="Action Figure",1200,IF(D2="Novel",1000,IF(D2="Sneakers",4000,IF(D2="Smartphone",10000,IF(D2="moisturizer",600,"No Product Found")))))))</f>
        <v>6000</v>
      </c>
      <c r="G2" s="7">
        <f>IF(D2="Tent",4000,IF(D2="Blender",2500,IF(D2="Action Figure",800,IF(D2="Novel",700,IF(D2="Sneakers",3000,IF(D2="Smartphone",7000,IF(D2="moisturizer",400,"No Product Found")))))))</f>
        <v>4000</v>
      </c>
      <c r="H2" s="7">
        <f>F2*E2</f>
        <v>504000</v>
      </c>
      <c r="I2" s="7">
        <f>H2-(G2*E2)</f>
        <v>168000</v>
      </c>
      <c r="K2" s="5">
        <f>SUM(H2:H51)</f>
        <v>12944500</v>
      </c>
    </row>
    <row r="3" spans="1:11">
      <c r="A3" s="8">
        <v>44446</v>
      </c>
      <c r="B3" s="9" t="s">
        <v>10</v>
      </c>
      <c r="C3" s="9" t="s">
        <v>5</v>
      </c>
      <c r="D3" s="9" t="s">
        <v>9</v>
      </c>
      <c r="E3" s="10">
        <v>128</v>
      </c>
      <c r="F3" s="11">
        <f t="shared" ref="F3:F51" si="0">IF(D3="Tent",6000,IF(D3="Blender",3500,IF(D3="Action Figure",1200,IF(D3="Novel",1000,IF(D3="Sneakers",4000,IF(D3="Smartphone",10000,IF(D3="moisturizer",600,"No Product Found")))))))</f>
        <v>3500</v>
      </c>
      <c r="G3" s="11">
        <f t="shared" ref="G3:G51" si="1">IF(D3="Tent",4000,IF(D3="Blender",2500,IF(D3="Action Figure",800,IF(D3="Novel",700,IF(D3="Sneakers",3000,IF(D3="Smartphone",7000,IF(D3="moisturizer",400,"No Product Found")))))))</f>
        <v>2500</v>
      </c>
      <c r="H3" s="11">
        <f t="shared" ref="H3:H51" si="2">F3*E3</f>
        <v>448000</v>
      </c>
      <c r="I3" s="11">
        <f t="shared" ref="I3:I34" si="3">H3-(G3*E3)</f>
        <v>128000</v>
      </c>
      <c r="K3" s="9" t="s">
        <v>34</v>
      </c>
    </row>
    <row r="4" spans="1:11">
      <c r="A4" s="12">
        <v>44230</v>
      </c>
      <c r="B4" s="13" t="s">
        <v>13</v>
      </c>
      <c r="C4" s="13" t="s">
        <v>11</v>
      </c>
      <c r="D4" s="13" t="s">
        <v>12</v>
      </c>
      <c r="E4" s="14">
        <v>136</v>
      </c>
      <c r="F4" s="15">
        <f t="shared" si="0"/>
        <v>1200</v>
      </c>
      <c r="G4" s="15">
        <f t="shared" si="1"/>
        <v>800</v>
      </c>
      <c r="H4" s="15">
        <f t="shared" si="2"/>
        <v>163200</v>
      </c>
      <c r="I4" s="15">
        <f t="shared" si="3"/>
        <v>54400</v>
      </c>
      <c r="K4" s="13">
        <f>SUM(F2:F51)</f>
        <v>135900</v>
      </c>
    </row>
    <row r="5" spans="1:11">
      <c r="A5" s="8">
        <v>44085</v>
      </c>
      <c r="B5" s="9" t="s">
        <v>16</v>
      </c>
      <c r="C5" s="9" t="s">
        <v>8</v>
      </c>
      <c r="D5" s="9" t="s">
        <v>15</v>
      </c>
      <c r="E5" s="10">
        <v>91</v>
      </c>
      <c r="F5" s="11">
        <f t="shared" si="0"/>
        <v>1000</v>
      </c>
      <c r="G5" s="11">
        <f t="shared" si="1"/>
        <v>700</v>
      </c>
      <c r="H5" s="11">
        <f t="shared" si="2"/>
        <v>91000</v>
      </c>
      <c r="I5" s="11">
        <f t="shared" si="3"/>
        <v>27300</v>
      </c>
      <c r="K5" s="9" t="s">
        <v>35</v>
      </c>
    </row>
    <row r="6" spans="1:11">
      <c r="A6" s="12">
        <v>44462</v>
      </c>
      <c r="B6" s="13" t="s">
        <v>19</v>
      </c>
      <c r="C6" s="13" t="s">
        <v>14</v>
      </c>
      <c r="D6" s="13" t="s">
        <v>18</v>
      </c>
      <c r="E6" s="14">
        <v>110</v>
      </c>
      <c r="F6" s="15">
        <f t="shared" si="0"/>
        <v>4000</v>
      </c>
      <c r="G6" s="15">
        <f t="shared" si="1"/>
        <v>3000</v>
      </c>
      <c r="H6" s="15">
        <f t="shared" si="2"/>
        <v>440000</v>
      </c>
      <c r="I6" s="15">
        <f t="shared" si="3"/>
        <v>110000</v>
      </c>
      <c r="K6" s="13">
        <f>SUM(I2:I51)</f>
        <v>3834400</v>
      </c>
    </row>
    <row r="7" spans="1:11">
      <c r="A7" s="8">
        <v>44105</v>
      </c>
      <c r="B7" s="9" t="s">
        <v>21</v>
      </c>
      <c r="C7" s="9" t="s">
        <v>5</v>
      </c>
      <c r="D7" s="9" t="s">
        <v>12</v>
      </c>
      <c r="E7" s="10">
        <v>51</v>
      </c>
      <c r="F7" s="11">
        <f t="shared" si="0"/>
        <v>1200</v>
      </c>
      <c r="G7" s="11">
        <f t="shared" si="1"/>
        <v>800</v>
      </c>
      <c r="H7" s="11">
        <f t="shared" si="2"/>
        <v>61200</v>
      </c>
      <c r="I7" s="11">
        <f t="shared" si="3"/>
        <v>20400</v>
      </c>
      <c r="K7" s="9" t="s">
        <v>36</v>
      </c>
    </row>
    <row r="8" spans="1:11">
      <c r="A8" s="12">
        <v>44413</v>
      </c>
      <c r="B8" s="13" t="s">
        <v>23</v>
      </c>
      <c r="C8" s="13" t="s">
        <v>8</v>
      </c>
      <c r="D8" s="13" t="s">
        <v>15</v>
      </c>
      <c r="E8" s="14">
        <v>78</v>
      </c>
      <c r="F8" s="15">
        <f t="shared" si="0"/>
        <v>1000</v>
      </c>
      <c r="G8" s="15">
        <f t="shared" si="1"/>
        <v>700</v>
      </c>
      <c r="H8" s="15">
        <f t="shared" si="2"/>
        <v>78000</v>
      </c>
      <c r="I8" s="15">
        <f t="shared" si="3"/>
        <v>23400</v>
      </c>
      <c r="K8" s="16">
        <f>AVERAGE(H2:H51)</f>
        <v>258890</v>
      </c>
    </row>
    <row r="9" spans="1:11">
      <c r="A9" s="8">
        <v>44141</v>
      </c>
      <c r="B9" s="9" t="s">
        <v>24</v>
      </c>
      <c r="C9" s="9" t="s">
        <v>11</v>
      </c>
      <c r="D9" s="9" t="s">
        <v>6</v>
      </c>
      <c r="E9" s="10">
        <v>146</v>
      </c>
      <c r="F9" s="11">
        <f t="shared" si="0"/>
        <v>6000</v>
      </c>
      <c r="G9" s="11">
        <f t="shared" si="1"/>
        <v>4000</v>
      </c>
      <c r="H9" s="11">
        <f t="shared" si="2"/>
        <v>876000</v>
      </c>
      <c r="I9" s="11">
        <f t="shared" si="3"/>
        <v>292000</v>
      </c>
    </row>
    <row r="10" spans="1:11">
      <c r="A10" s="12">
        <v>44223</v>
      </c>
      <c r="B10" s="13" t="s">
        <v>25</v>
      </c>
      <c r="C10" s="13" t="s">
        <v>14</v>
      </c>
      <c r="D10" s="13" t="s">
        <v>20</v>
      </c>
      <c r="E10" s="14">
        <v>101</v>
      </c>
      <c r="F10" s="15">
        <f t="shared" si="0"/>
        <v>600</v>
      </c>
      <c r="G10" s="15">
        <f t="shared" si="1"/>
        <v>400</v>
      </c>
      <c r="H10" s="15">
        <f t="shared" si="2"/>
        <v>60600</v>
      </c>
      <c r="I10" s="15">
        <f t="shared" si="3"/>
        <v>20200</v>
      </c>
    </row>
    <row r="11" spans="1:11">
      <c r="A11" s="8">
        <v>44442</v>
      </c>
      <c r="B11" s="9" t="s">
        <v>26</v>
      </c>
      <c r="C11" s="9" t="s">
        <v>11</v>
      </c>
      <c r="D11" s="9" t="s">
        <v>6</v>
      </c>
      <c r="E11" s="10">
        <v>52</v>
      </c>
      <c r="F11" s="11">
        <f t="shared" si="0"/>
        <v>6000</v>
      </c>
      <c r="G11" s="11">
        <f t="shared" si="1"/>
        <v>4000</v>
      </c>
      <c r="H11" s="11">
        <f t="shared" si="2"/>
        <v>312000</v>
      </c>
      <c r="I11" s="11">
        <f t="shared" si="3"/>
        <v>104000</v>
      </c>
    </row>
    <row r="12" spans="1:11">
      <c r="A12" s="12">
        <v>44469</v>
      </c>
      <c r="B12" s="13" t="s">
        <v>26</v>
      </c>
      <c r="C12" s="13" t="s">
        <v>5</v>
      </c>
      <c r="D12" s="13" t="s">
        <v>12</v>
      </c>
      <c r="E12" s="14">
        <v>55</v>
      </c>
      <c r="F12" s="15">
        <f t="shared" si="0"/>
        <v>1200</v>
      </c>
      <c r="G12" s="15">
        <f t="shared" si="1"/>
        <v>800</v>
      </c>
      <c r="H12" s="15">
        <f t="shared" si="2"/>
        <v>66000</v>
      </c>
      <c r="I12" s="15">
        <f t="shared" si="3"/>
        <v>22000</v>
      </c>
    </row>
    <row r="13" spans="1:11">
      <c r="A13" s="8">
        <v>44084</v>
      </c>
      <c r="B13" s="9" t="s">
        <v>26</v>
      </c>
      <c r="C13" s="9" t="s">
        <v>11</v>
      </c>
      <c r="D13" s="9" t="s">
        <v>15</v>
      </c>
      <c r="E13" s="10">
        <v>137</v>
      </c>
      <c r="F13" s="11">
        <f t="shared" si="0"/>
        <v>1000</v>
      </c>
      <c r="G13" s="11">
        <f t="shared" si="1"/>
        <v>700</v>
      </c>
      <c r="H13" s="11">
        <f t="shared" si="2"/>
        <v>137000</v>
      </c>
      <c r="I13" s="11">
        <f t="shared" si="3"/>
        <v>41100</v>
      </c>
    </row>
    <row r="14" spans="1:11">
      <c r="A14" s="12">
        <v>44404</v>
      </c>
      <c r="B14" s="13" t="s">
        <v>24</v>
      </c>
      <c r="C14" s="13" t="s">
        <v>11</v>
      </c>
      <c r="D14" s="13" t="s">
        <v>9</v>
      </c>
      <c r="E14" s="14">
        <v>96</v>
      </c>
      <c r="F14" s="15">
        <f t="shared" si="0"/>
        <v>3500</v>
      </c>
      <c r="G14" s="15">
        <f t="shared" si="1"/>
        <v>2500</v>
      </c>
      <c r="H14" s="15">
        <f t="shared" si="2"/>
        <v>336000</v>
      </c>
      <c r="I14" s="15">
        <f t="shared" si="3"/>
        <v>96000</v>
      </c>
    </row>
    <row r="15" spans="1:11">
      <c r="A15" s="8">
        <v>44113</v>
      </c>
      <c r="B15" s="9" t="s">
        <v>25</v>
      </c>
      <c r="C15" s="9" t="s">
        <v>5</v>
      </c>
      <c r="D15" s="9" t="s">
        <v>18</v>
      </c>
      <c r="E15" s="10">
        <v>52</v>
      </c>
      <c r="F15" s="11">
        <f t="shared" si="0"/>
        <v>4000</v>
      </c>
      <c r="G15" s="11">
        <f t="shared" si="1"/>
        <v>3000</v>
      </c>
      <c r="H15" s="11">
        <f t="shared" si="2"/>
        <v>208000</v>
      </c>
      <c r="I15" s="11">
        <f t="shared" si="3"/>
        <v>52000</v>
      </c>
    </row>
    <row r="16" spans="1:11">
      <c r="A16" s="12">
        <v>44292</v>
      </c>
      <c r="B16" s="13" t="s">
        <v>16</v>
      </c>
      <c r="C16" s="13" t="s">
        <v>14</v>
      </c>
      <c r="D16" s="13" t="s">
        <v>9</v>
      </c>
      <c r="E16" s="14">
        <v>76</v>
      </c>
      <c r="F16" s="15">
        <f t="shared" si="0"/>
        <v>3500</v>
      </c>
      <c r="G16" s="15">
        <f t="shared" si="1"/>
        <v>2500</v>
      </c>
      <c r="H16" s="15">
        <f t="shared" si="2"/>
        <v>266000</v>
      </c>
      <c r="I16" s="15">
        <f t="shared" si="3"/>
        <v>76000</v>
      </c>
    </row>
    <row r="17" spans="1:9">
      <c r="A17" s="8">
        <v>44362</v>
      </c>
      <c r="B17" s="9" t="s">
        <v>10</v>
      </c>
      <c r="C17" s="9" t="s">
        <v>8</v>
      </c>
      <c r="D17" s="9" t="s">
        <v>18</v>
      </c>
      <c r="E17" s="10">
        <v>145</v>
      </c>
      <c r="F17" s="11">
        <f t="shared" si="0"/>
        <v>4000</v>
      </c>
      <c r="G17" s="11">
        <f t="shared" si="1"/>
        <v>3000</v>
      </c>
      <c r="H17" s="11">
        <f t="shared" si="2"/>
        <v>580000</v>
      </c>
      <c r="I17" s="11">
        <f t="shared" si="3"/>
        <v>145000</v>
      </c>
    </row>
    <row r="18" spans="1:9">
      <c r="A18" s="12">
        <v>44083</v>
      </c>
      <c r="B18" s="13" t="s">
        <v>7</v>
      </c>
      <c r="C18" s="13" t="s">
        <v>11</v>
      </c>
      <c r="D18" s="13" t="s">
        <v>20</v>
      </c>
      <c r="E18" s="14">
        <v>83</v>
      </c>
      <c r="F18" s="15">
        <f t="shared" si="0"/>
        <v>600</v>
      </c>
      <c r="G18" s="15">
        <f t="shared" si="1"/>
        <v>400</v>
      </c>
      <c r="H18" s="15">
        <f t="shared" si="2"/>
        <v>49800</v>
      </c>
      <c r="I18" s="15">
        <f t="shared" si="3"/>
        <v>16600</v>
      </c>
    </row>
    <row r="19" spans="1:9">
      <c r="A19" s="8">
        <v>44421</v>
      </c>
      <c r="B19" s="9" t="s">
        <v>19</v>
      </c>
      <c r="C19" s="9" t="s">
        <v>11</v>
      </c>
      <c r="D19" s="9" t="s">
        <v>15</v>
      </c>
      <c r="E19" s="10">
        <v>91</v>
      </c>
      <c r="F19" s="11">
        <f t="shared" si="0"/>
        <v>1000</v>
      </c>
      <c r="G19" s="11">
        <f t="shared" si="1"/>
        <v>700</v>
      </c>
      <c r="H19" s="11">
        <f t="shared" si="2"/>
        <v>91000</v>
      </c>
      <c r="I19" s="11">
        <f t="shared" si="3"/>
        <v>27300</v>
      </c>
    </row>
    <row r="20" spans="1:9">
      <c r="A20" s="12">
        <v>44070</v>
      </c>
      <c r="B20" s="13" t="s">
        <v>21</v>
      </c>
      <c r="C20" s="13" t="s">
        <v>14</v>
      </c>
      <c r="D20" s="13" t="s">
        <v>22</v>
      </c>
      <c r="E20" s="14">
        <v>108</v>
      </c>
      <c r="F20" s="15">
        <f t="shared" si="0"/>
        <v>10000</v>
      </c>
      <c r="G20" s="15">
        <f t="shared" si="1"/>
        <v>7000</v>
      </c>
      <c r="H20" s="15">
        <f t="shared" si="2"/>
        <v>1080000</v>
      </c>
      <c r="I20" s="15">
        <f t="shared" si="3"/>
        <v>324000</v>
      </c>
    </row>
    <row r="21" spans="1:9">
      <c r="A21" s="8">
        <v>44293</v>
      </c>
      <c r="B21" s="9" t="s">
        <v>13</v>
      </c>
      <c r="C21" s="9" t="s">
        <v>8</v>
      </c>
      <c r="D21" s="9" t="s">
        <v>18</v>
      </c>
      <c r="E21" s="10">
        <v>144</v>
      </c>
      <c r="F21" s="11">
        <f t="shared" si="0"/>
        <v>4000</v>
      </c>
      <c r="G21" s="11">
        <f t="shared" si="1"/>
        <v>3000</v>
      </c>
      <c r="H21" s="11">
        <f t="shared" si="2"/>
        <v>576000</v>
      </c>
      <c r="I21" s="11">
        <f t="shared" si="3"/>
        <v>144000</v>
      </c>
    </row>
    <row r="22" spans="1:9">
      <c r="A22" s="12">
        <v>43990</v>
      </c>
      <c r="B22" s="13" t="s">
        <v>19</v>
      </c>
      <c r="C22" s="13" t="s">
        <v>11</v>
      </c>
      <c r="D22" s="13" t="s">
        <v>20</v>
      </c>
      <c r="E22" s="14">
        <v>92</v>
      </c>
      <c r="F22" s="15">
        <f t="shared" si="0"/>
        <v>600</v>
      </c>
      <c r="G22" s="15">
        <f t="shared" si="1"/>
        <v>400</v>
      </c>
      <c r="H22" s="15">
        <f t="shared" si="2"/>
        <v>55200</v>
      </c>
      <c r="I22" s="15">
        <f t="shared" si="3"/>
        <v>18400</v>
      </c>
    </row>
    <row r="23" spans="1:9">
      <c r="A23" s="8">
        <v>44551</v>
      </c>
      <c r="B23" s="9" t="s">
        <v>24</v>
      </c>
      <c r="C23" s="9" t="s">
        <v>14</v>
      </c>
      <c r="D23" s="9" t="s">
        <v>6</v>
      </c>
      <c r="E23" s="10">
        <v>71</v>
      </c>
      <c r="F23" s="11">
        <f t="shared" si="0"/>
        <v>6000</v>
      </c>
      <c r="G23" s="11">
        <f t="shared" si="1"/>
        <v>4000</v>
      </c>
      <c r="H23" s="11">
        <f t="shared" si="2"/>
        <v>426000</v>
      </c>
      <c r="I23" s="11">
        <f t="shared" si="3"/>
        <v>142000</v>
      </c>
    </row>
    <row r="24" spans="1:9">
      <c r="A24" s="12">
        <v>44418</v>
      </c>
      <c r="B24" s="13" t="s">
        <v>7</v>
      </c>
      <c r="C24" s="13" t="s">
        <v>5</v>
      </c>
      <c r="D24" s="13" t="s">
        <v>20</v>
      </c>
      <c r="E24" s="14">
        <v>103</v>
      </c>
      <c r="F24" s="15">
        <f t="shared" si="0"/>
        <v>600</v>
      </c>
      <c r="G24" s="15">
        <f t="shared" si="1"/>
        <v>400</v>
      </c>
      <c r="H24" s="15">
        <f t="shared" si="2"/>
        <v>61800</v>
      </c>
      <c r="I24" s="15">
        <f t="shared" si="3"/>
        <v>20600</v>
      </c>
    </row>
    <row r="25" spans="1:9">
      <c r="A25" s="8">
        <v>44532</v>
      </c>
      <c r="B25" s="9" t="s">
        <v>26</v>
      </c>
      <c r="C25" s="9" t="s">
        <v>8</v>
      </c>
      <c r="D25" s="9" t="s">
        <v>15</v>
      </c>
      <c r="E25" s="10">
        <v>55</v>
      </c>
      <c r="F25" s="11">
        <f t="shared" si="0"/>
        <v>1000</v>
      </c>
      <c r="G25" s="11">
        <f t="shared" si="1"/>
        <v>700</v>
      </c>
      <c r="H25" s="11">
        <f t="shared" si="2"/>
        <v>55000</v>
      </c>
      <c r="I25" s="11">
        <f t="shared" si="3"/>
        <v>16500</v>
      </c>
    </row>
    <row r="26" spans="1:9">
      <c r="A26" s="12">
        <v>44438</v>
      </c>
      <c r="B26" s="13" t="s">
        <v>21</v>
      </c>
      <c r="C26" s="13" t="s">
        <v>5</v>
      </c>
      <c r="D26" s="13" t="s">
        <v>18</v>
      </c>
      <c r="E26" s="14">
        <v>93</v>
      </c>
      <c r="F26" s="15">
        <f t="shared" si="0"/>
        <v>4000</v>
      </c>
      <c r="G26" s="15">
        <f t="shared" si="1"/>
        <v>3000</v>
      </c>
      <c r="H26" s="15">
        <f t="shared" si="2"/>
        <v>372000</v>
      </c>
      <c r="I26" s="15">
        <f t="shared" si="3"/>
        <v>93000</v>
      </c>
    </row>
    <row r="27" spans="1:9">
      <c r="A27" s="8">
        <v>43971</v>
      </c>
      <c r="B27" s="9" t="s">
        <v>13</v>
      </c>
      <c r="C27" s="9" t="s">
        <v>11</v>
      </c>
      <c r="D27" s="9" t="s">
        <v>20</v>
      </c>
      <c r="E27" s="10">
        <v>143</v>
      </c>
      <c r="F27" s="11">
        <f t="shared" si="0"/>
        <v>600</v>
      </c>
      <c r="G27" s="11">
        <f t="shared" si="1"/>
        <v>400</v>
      </c>
      <c r="H27" s="11">
        <f t="shared" si="2"/>
        <v>85800</v>
      </c>
      <c r="I27" s="11">
        <f t="shared" si="3"/>
        <v>28600</v>
      </c>
    </row>
    <row r="28" spans="1:9">
      <c r="A28" s="12">
        <v>44452</v>
      </c>
      <c r="B28" s="13" t="s">
        <v>23</v>
      </c>
      <c r="C28" s="13" t="s">
        <v>14</v>
      </c>
      <c r="D28" s="13" t="s">
        <v>9</v>
      </c>
      <c r="E28" s="14">
        <v>143</v>
      </c>
      <c r="F28" s="15">
        <f t="shared" si="0"/>
        <v>3500</v>
      </c>
      <c r="G28" s="15">
        <f t="shared" si="1"/>
        <v>2500</v>
      </c>
      <c r="H28" s="15">
        <f t="shared" si="2"/>
        <v>500500</v>
      </c>
      <c r="I28" s="15">
        <f t="shared" si="3"/>
        <v>143000</v>
      </c>
    </row>
    <row r="29" spans="1:9">
      <c r="A29" s="8">
        <v>44496</v>
      </c>
      <c r="B29" s="9" t="s">
        <v>25</v>
      </c>
      <c r="C29" s="9" t="s">
        <v>8</v>
      </c>
      <c r="D29" s="9" t="s">
        <v>20</v>
      </c>
      <c r="E29" s="10">
        <v>99</v>
      </c>
      <c r="F29" s="11">
        <f t="shared" si="0"/>
        <v>600</v>
      </c>
      <c r="G29" s="11">
        <f t="shared" si="1"/>
        <v>400</v>
      </c>
      <c r="H29" s="11">
        <f t="shared" si="2"/>
        <v>59400</v>
      </c>
      <c r="I29" s="11">
        <f t="shared" si="3"/>
        <v>19800</v>
      </c>
    </row>
    <row r="30" spans="1:9">
      <c r="A30" s="12">
        <v>44187</v>
      </c>
      <c r="B30" s="13" t="s">
        <v>16</v>
      </c>
      <c r="C30" s="13" t="s">
        <v>14</v>
      </c>
      <c r="D30" s="13" t="s">
        <v>15</v>
      </c>
      <c r="E30" s="14">
        <v>120</v>
      </c>
      <c r="F30" s="15">
        <f t="shared" si="0"/>
        <v>1000</v>
      </c>
      <c r="G30" s="15">
        <f t="shared" si="1"/>
        <v>700</v>
      </c>
      <c r="H30" s="15">
        <f t="shared" si="2"/>
        <v>120000</v>
      </c>
      <c r="I30" s="15">
        <f t="shared" si="3"/>
        <v>36000</v>
      </c>
    </row>
    <row r="31" spans="1:9">
      <c r="A31" s="8">
        <v>44405</v>
      </c>
      <c r="B31" s="9" t="s">
        <v>10</v>
      </c>
      <c r="C31" s="9" t="s">
        <v>11</v>
      </c>
      <c r="D31" s="9" t="s">
        <v>9</v>
      </c>
      <c r="E31" s="10">
        <v>66</v>
      </c>
      <c r="F31" s="11">
        <f t="shared" si="0"/>
        <v>3500</v>
      </c>
      <c r="G31" s="11">
        <f t="shared" si="1"/>
        <v>2500</v>
      </c>
      <c r="H31" s="11">
        <f t="shared" si="2"/>
        <v>231000</v>
      </c>
      <c r="I31" s="11">
        <f t="shared" si="3"/>
        <v>66000</v>
      </c>
    </row>
    <row r="32" spans="1:9">
      <c r="A32" s="12">
        <v>44103</v>
      </c>
      <c r="B32" s="13" t="s">
        <v>25</v>
      </c>
      <c r="C32" s="13" t="s">
        <v>8</v>
      </c>
      <c r="D32" s="13" t="s">
        <v>12</v>
      </c>
      <c r="E32" s="14">
        <v>88</v>
      </c>
      <c r="F32" s="15">
        <f t="shared" si="0"/>
        <v>1200</v>
      </c>
      <c r="G32" s="15">
        <f t="shared" si="1"/>
        <v>800</v>
      </c>
      <c r="H32" s="15">
        <f t="shared" si="2"/>
        <v>105600</v>
      </c>
      <c r="I32" s="15">
        <f t="shared" si="3"/>
        <v>35200</v>
      </c>
    </row>
    <row r="33" spans="1:9">
      <c r="A33" s="8">
        <v>44126</v>
      </c>
      <c r="B33" s="9" t="s">
        <v>16</v>
      </c>
      <c r="C33" s="9" t="s">
        <v>5</v>
      </c>
      <c r="D33" s="9" t="s">
        <v>22</v>
      </c>
      <c r="E33" s="10">
        <v>127</v>
      </c>
      <c r="F33" s="11">
        <f t="shared" si="0"/>
        <v>10000</v>
      </c>
      <c r="G33" s="11">
        <f t="shared" si="1"/>
        <v>7000</v>
      </c>
      <c r="H33" s="11">
        <f t="shared" si="2"/>
        <v>1270000</v>
      </c>
      <c r="I33" s="11">
        <f t="shared" si="3"/>
        <v>381000</v>
      </c>
    </row>
    <row r="34" spans="1:9">
      <c r="A34" s="12">
        <v>43970</v>
      </c>
      <c r="B34" s="13" t="s">
        <v>19</v>
      </c>
      <c r="C34" s="13" t="s">
        <v>14</v>
      </c>
      <c r="D34" s="13" t="s">
        <v>18</v>
      </c>
      <c r="E34" s="14">
        <v>67</v>
      </c>
      <c r="F34" s="15">
        <f t="shared" si="0"/>
        <v>4000</v>
      </c>
      <c r="G34" s="15">
        <f t="shared" si="1"/>
        <v>3000</v>
      </c>
      <c r="H34" s="15">
        <f t="shared" si="2"/>
        <v>268000</v>
      </c>
      <c r="I34" s="15">
        <f t="shared" si="3"/>
        <v>67000</v>
      </c>
    </row>
    <row r="35" spans="1:9">
      <c r="A35" s="8">
        <v>44536</v>
      </c>
      <c r="B35" s="9" t="s">
        <v>10</v>
      </c>
      <c r="C35" s="9" t="s">
        <v>5</v>
      </c>
      <c r="D35" s="9" t="s">
        <v>12</v>
      </c>
      <c r="E35" s="10">
        <v>67</v>
      </c>
      <c r="F35" s="11">
        <f t="shared" si="0"/>
        <v>1200</v>
      </c>
      <c r="G35" s="11">
        <f t="shared" si="1"/>
        <v>800</v>
      </c>
      <c r="H35" s="11">
        <f t="shared" si="2"/>
        <v>80400</v>
      </c>
      <c r="I35" s="11">
        <f t="shared" ref="I35:I51" si="4">H35-(G35*E35)</f>
        <v>26800</v>
      </c>
    </row>
    <row r="36" spans="1:9">
      <c r="A36" s="12">
        <v>44069</v>
      </c>
      <c r="B36" s="13" t="s">
        <v>26</v>
      </c>
      <c r="C36" s="13" t="s">
        <v>11</v>
      </c>
      <c r="D36" s="13" t="s">
        <v>15</v>
      </c>
      <c r="E36" s="14">
        <v>149</v>
      </c>
      <c r="F36" s="15">
        <f t="shared" si="0"/>
        <v>1000</v>
      </c>
      <c r="G36" s="15">
        <f t="shared" si="1"/>
        <v>700</v>
      </c>
      <c r="H36" s="15">
        <f t="shared" si="2"/>
        <v>149000</v>
      </c>
      <c r="I36" s="15">
        <f t="shared" si="4"/>
        <v>44700</v>
      </c>
    </row>
    <row r="37" spans="1:9">
      <c r="A37" s="8">
        <v>44378</v>
      </c>
      <c r="B37" s="9" t="s">
        <v>19</v>
      </c>
      <c r="C37" s="9" t="s">
        <v>8</v>
      </c>
      <c r="D37" s="9" t="s">
        <v>20</v>
      </c>
      <c r="E37" s="10">
        <v>104</v>
      </c>
      <c r="F37" s="11">
        <f t="shared" si="0"/>
        <v>600</v>
      </c>
      <c r="G37" s="11">
        <f t="shared" si="1"/>
        <v>400</v>
      </c>
      <c r="H37" s="11">
        <f t="shared" si="2"/>
        <v>62400</v>
      </c>
      <c r="I37" s="11">
        <f t="shared" si="4"/>
        <v>20800</v>
      </c>
    </row>
    <row r="38" spans="1:9">
      <c r="A38" s="12">
        <v>44404</v>
      </c>
      <c r="B38" s="13" t="s">
        <v>24</v>
      </c>
      <c r="C38" s="13" t="s">
        <v>14</v>
      </c>
      <c r="D38" s="13" t="s">
        <v>20</v>
      </c>
      <c r="E38" s="14">
        <v>57</v>
      </c>
      <c r="F38" s="15">
        <f t="shared" si="0"/>
        <v>600</v>
      </c>
      <c r="G38" s="15">
        <f t="shared" si="1"/>
        <v>400</v>
      </c>
      <c r="H38" s="15">
        <f t="shared" si="2"/>
        <v>34200</v>
      </c>
      <c r="I38" s="15">
        <f t="shared" si="4"/>
        <v>11400</v>
      </c>
    </row>
    <row r="39" spans="1:9">
      <c r="A39" s="8">
        <v>44109</v>
      </c>
      <c r="B39" s="9" t="s">
        <v>13</v>
      </c>
      <c r="C39" s="9" t="s">
        <v>5</v>
      </c>
      <c r="D39" s="9" t="s">
        <v>20</v>
      </c>
      <c r="E39" s="10">
        <v>90</v>
      </c>
      <c r="F39" s="11">
        <f t="shared" si="0"/>
        <v>600</v>
      </c>
      <c r="G39" s="11">
        <f t="shared" si="1"/>
        <v>400</v>
      </c>
      <c r="H39" s="11">
        <f t="shared" si="2"/>
        <v>54000</v>
      </c>
      <c r="I39" s="11">
        <f t="shared" si="4"/>
        <v>18000</v>
      </c>
    </row>
    <row r="40" spans="1:9">
      <c r="A40" s="12">
        <v>44076</v>
      </c>
      <c r="B40" s="13" t="s">
        <v>21</v>
      </c>
      <c r="C40" s="13" t="s">
        <v>11</v>
      </c>
      <c r="D40" s="13" t="s">
        <v>20</v>
      </c>
      <c r="E40" s="14">
        <v>67</v>
      </c>
      <c r="F40" s="15">
        <f t="shared" si="0"/>
        <v>600</v>
      </c>
      <c r="G40" s="15">
        <f t="shared" si="1"/>
        <v>400</v>
      </c>
      <c r="H40" s="15">
        <f t="shared" si="2"/>
        <v>40200</v>
      </c>
      <c r="I40" s="15">
        <f t="shared" si="4"/>
        <v>13400</v>
      </c>
    </row>
    <row r="41" spans="1:9">
      <c r="A41" s="8">
        <v>44441</v>
      </c>
      <c r="B41" s="9" t="s">
        <v>7</v>
      </c>
      <c r="C41" s="9" t="s">
        <v>8</v>
      </c>
      <c r="D41" s="9" t="s">
        <v>18</v>
      </c>
      <c r="E41" s="10">
        <v>127</v>
      </c>
      <c r="F41" s="11">
        <f t="shared" si="0"/>
        <v>4000</v>
      </c>
      <c r="G41" s="11">
        <f t="shared" si="1"/>
        <v>3000</v>
      </c>
      <c r="H41" s="11">
        <f t="shared" si="2"/>
        <v>508000</v>
      </c>
      <c r="I41" s="11">
        <f t="shared" si="4"/>
        <v>127000</v>
      </c>
    </row>
    <row r="42" spans="1:9">
      <c r="A42" s="12">
        <v>44299</v>
      </c>
      <c r="B42" s="13" t="s">
        <v>21</v>
      </c>
      <c r="C42" s="13" t="s">
        <v>14</v>
      </c>
      <c r="D42" s="13" t="s">
        <v>15</v>
      </c>
      <c r="E42" s="14">
        <v>108</v>
      </c>
      <c r="F42" s="15">
        <f t="shared" si="0"/>
        <v>1000</v>
      </c>
      <c r="G42" s="15">
        <f t="shared" si="1"/>
        <v>700</v>
      </c>
      <c r="H42" s="15">
        <f t="shared" si="2"/>
        <v>108000</v>
      </c>
      <c r="I42" s="15">
        <f t="shared" si="4"/>
        <v>32400</v>
      </c>
    </row>
    <row r="43" spans="1:9">
      <c r="A43" s="8">
        <v>44322</v>
      </c>
      <c r="B43" s="9" t="s">
        <v>13</v>
      </c>
      <c r="C43" s="9" t="s">
        <v>5</v>
      </c>
      <c r="D43" s="9" t="s">
        <v>9</v>
      </c>
      <c r="E43" s="10">
        <v>66</v>
      </c>
      <c r="F43" s="11">
        <f t="shared" si="0"/>
        <v>3500</v>
      </c>
      <c r="G43" s="11">
        <f t="shared" si="1"/>
        <v>2500</v>
      </c>
      <c r="H43" s="11">
        <f t="shared" si="2"/>
        <v>231000</v>
      </c>
      <c r="I43" s="11">
        <f t="shared" si="4"/>
        <v>66000</v>
      </c>
    </row>
    <row r="44" spans="1:9">
      <c r="A44" s="12">
        <v>44211</v>
      </c>
      <c r="B44" s="13" t="s">
        <v>7</v>
      </c>
      <c r="C44" s="13" t="s">
        <v>8</v>
      </c>
      <c r="D44" s="13" t="s">
        <v>6</v>
      </c>
      <c r="E44" s="14">
        <v>78</v>
      </c>
      <c r="F44" s="15">
        <f t="shared" si="0"/>
        <v>6000</v>
      </c>
      <c r="G44" s="15">
        <f t="shared" si="1"/>
        <v>4000</v>
      </c>
      <c r="H44" s="15">
        <f t="shared" si="2"/>
        <v>468000</v>
      </c>
      <c r="I44" s="15">
        <f t="shared" si="4"/>
        <v>156000</v>
      </c>
    </row>
    <row r="45" spans="1:9">
      <c r="A45" s="8">
        <v>44070</v>
      </c>
      <c r="B45" s="9" t="s">
        <v>24</v>
      </c>
      <c r="C45" s="9" t="s">
        <v>11</v>
      </c>
      <c r="D45" s="9" t="s">
        <v>15</v>
      </c>
      <c r="E45" s="10">
        <v>69</v>
      </c>
      <c r="F45" s="11">
        <f t="shared" si="0"/>
        <v>1000</v>
      </c>
      <c r="G45" s="11">
        <f t="shared" si="1"/>
        <v>700</v>
      </c>
      <c r="H45" s="11">
        <f t="shared" si="2"/>
        <v>69000</v>
      </c>
      <c r="I45" s="11">
        <f t="shared" si="4"/>
        <v>20700</v>
      </c>
    </row>
    <row r="46" spans="1:9">
      <c r="A46" s="12">
        <v>44232</v>
      </c>
      <c r="B46" s="13" t="s">
        <v>19</v>
      </c>
      <c r="C46" s="13" t="s">
        <v>14</v>
      </c>
      <c r="D46" s="13" t="s">
        <v>12</v>
      </c>
      <c r="E46" s="14">
        <v>59</v>
      </c>
      <c r="F46" s="15">
        <f t="shared" si="0"/>
        <v>1200</v>
      </c>
      <c r="G46" s="15">
        <f t="shared" si="1"/>
        <v>800</v>
      </c>
      <c r="H46" s="15">
        <f t="shared" si="2"/>
        <v>70800</v>
      </c>
      <c r="I46" s="15">
        <f t="shared" si="4"/>
        <v>23600</v>
      </c>
    </row>
    <row r="47" spans="1:9">
      <c r="A47" s="8">
        <v>44517</v>
      </c>
      <c r="B47" s="9" t="s">
        <v>26</v>
      </c>
      <c r="C47" s="9" t="s">
        <v>11</v>
      </c>
      <c r="D47" s="9" t="s">
        <v>20</v>
      </c>
      <c r="E47" s="10">
        <v>109</v>
      </c>
      <c r="F47" s="11">
        <f t="shared" si="0"/>
        <v>600</v>
      </c>
      <c r="G47" s="11">
        <f t="shared" si="1"/>
        <v>400</v>
      </c>
      <c r="H47" s="11">
        <f t="shared" si="2"/>
        <v>65400</v>
      </c>
      <c r="I47" s="11">
        <f t="shared" si="4"/>
        <v>21800</v>
      </c>
    </row>
    <row r="48" spans="1:9">
      <c r="A48" s="12">
        <v>44193</v>
      </c>
      <c r="B48" s="13" t="s">
        <v>25</v>
      </c>
      <c r="C48" s="13" t="s">
        <v>5</v>
      </c>
      <c r="D48" s="13" t="s">
        <v>18</v>
      </c>
      <c r="E48" s="14">
        <v>61</v>
      </c>
      <c r="F48" s="15">
        <f t="shared" si="0"/>
        <v>4000</v>
      </c>
      <c r="G48" s="15">
        <f t="shared" si="1"/>
        <v>3000</v>
      </c>
      <c r="H48" s="15">
        <f t="shared" si="2"/>
        <v>244000</v>
      </c>
      <c r="I48" s="15">
        <f t="shared" si="4"/>
        <v>61000</v>
      </c>
    </row>
    <row r="49" spans="1:9">
      <c r="A49" s="8">
        <v>44496</v>
      </c>
      <c r="B49" s="9" t="s">
        <v>19</v>
      </c>
      <c r="C49" s="9" t="s">
        <v>8</v>
      </c>
      <c r="D49" s="9" t="s">
        <v>20</v>
      </c>
      <c r="E49" s="10">
        <v>130</v>
      </c>
      <c r="F49" s="11">
        <f t="shared" si="0"/>
        <v>600</v>
      </c>
      <c r="G49" s="11">
        <f t="shared" si="1"/>
        <v>400</v>
      </c>
      <c r="H49" s="11">
        <f t="shared" si="2"/>
        <v>78000</v>
      </c>
      <c r="I49" s="11">
        <f t="shared" si="4"/>
        <v>26000</v>
      </c>
    </row>
    <row r="50" spans="1:9">
      <c r="A50" s="12">
        <v>44502</v>
      </c>
      <c r="B50" s="13" t="s">
        <v>16</v>
      </c>
      <c r="C50" s="13" t="s">
        <v>11</v>
      </c>
      <c r="D50" s="13" t="s">
        <v>9</v>
      </c>
      <c r="E50" s="14">
        <v>60</v>
      </c>
      <c r="F50" s="15">
        <f t="shared" si="0"/>
        <v>3500</v>
      </c>
      <c r="G50" s="15">
        <f t="shared" si="1"/>
        <v>2500</v>
      </c>
      <c r="H50" s="15">
        <f t="shared" si="2"/>
        <v>210000</v>
      </c>
      <c r="I50" s="15">
        <f t="shared" si="4"/>
        <v>60000</v>
      </c>
    </row>
    <row r="51" spans="1:9">
      <c r="A51" s="17">
        <v>43958</v>
      </c>
      <c r="B51" s="18" t="s">
        <v>10</v>
      </c>
      <c r="C51" s="18" t="s">
        <v>5</v>
      </c>
      <c r="D51" s="18" t="s">
        <v>6</v>
      </c>
      <c r="E51" s="19">
        <v>73</v>
      </c>
      <c r="F51" s="20">
        <f t="shared" si="0"/>
        <v>6000</v>
      </c>
      <c r="G51" s="20">
        <f t="shared" si="1"/>
        <v>4000</v>
      </c>
      <c r="H51" s="20">
        <f t="shared" si="2"/>
        <v>438000</v>
      </c>
      <c r="I51" s="20">
        <f t="shared" si="4"/>
        <v>146000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1"/>
  <sheetViews>
    <sheetView zoomScale="80" zoomScaleNormal="80" topLeftCell="B12" workbookViewId="0">
      <selection activeCell="Q32" sqref="Q32"/>
    </sheetView>
  </sheetViews>
  <sheetFormatPr defaultColWidth="9" defaultRowHeight="14.25" outlineLevelCol="5"/>
  <sheetData>
    <row r="11" spans="6:6">
      <c r="F11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 </vt:lpstr>
      <vt:lpstr>SalesData</vt:lpstr>
      <vt:lpstr>DASH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Williams</dc:creator>
  <cp:lastModifiedBy>HP R5</cp:lastModifiedBy>
  <dcterms:created xsi:type="dcterms:W3CDTF">2024-05-30T14:35:00Z</dcterms:created>
  <dcterms:modified xsi:type="dcterms:W3CDTF">2026-04-09T17:51:59Z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478D762D96404FD4830C3F7DCCEE962A_13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